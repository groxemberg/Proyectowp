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07 CIDRE 2024\PROGRAMADO\05 Visitas Agencias I_2024\11 Ag. Colomi\"/>
    </mc:Choice>
  </mc:AlternateContent>
  <xr:revisionPtr revIDLastSave="0" documentId="13_ncr:1_{38FFEFE8-1E61-437B-86FB-53DDAB87587D}" xr6:coauthVersionLast="47" xr6:coauthVersionMax="47" xr10:uidLastSave="{00000000-0000-0000-0000-000000000000}"/>
  <bookViews>
    <workbookView xWindow="-120" yWindow="-120" windowWidth="20730" windowHeight="11040" tabRatio="847" activeTab="1" xr2:uid="{00000000-000D-0000-FFFF-FFFF00000000}"/>
  </bookViews>
  <sheets>
    <sheet name="MarcasAud" sheetId="130" r:id="rId1"/>
    <sheet name="FormOperativo" sheetId="92" r:id="rId2"/>
    <sheet name="FormAdministrativo" sheetId="122" r:id="rId3"/>
    <sheet name="FormSeguridaFisica" sheetId="93" r:id="rId4"/>
    <sheet name="FormCaptaciones" sheetId="123" r:id="rId5"/>
    <sheet name="FormPuntoReclamo" sheetId="124" r:id="rId6"/>
    <sheet name="FormCanjeFraccionamiento" sheetId="125" r:id="rId7"/>
    <sheet name="FormContratos" sheetId="126" r:id="rId8"/>
    <sheet name="FormBienesAdj" sheetId="127" r:id="rId9"/>
    <sheet name="InfOperativo" sheetId="96" r:id="rId10"/>
    <sheet name="InfAdm" sheetId="98" r:id="rId11"/>
    <sheet name="InfSegFis" sheetId="97" r:id="rId12"/>
    <sheet name="InfCapt" sheetId="99" r:id="rId13"/>
    <sheet name="InfPuntRecl" sheetId="101" r:id="rId14"/>
    <sheet name="InfCanFrac" sheetId="102" r:id="rId15"/>
    <sheet name="InfContratos" sheetId="100" r:id="rId16"/>
    <sheet name="InfBienesAdj" sheetId="120" r:id="rId17"/>
    <sheet name="Requerimiento" sheetId="128" r:id="rId18"/>
    <sheet name="Arqueo BÓVEDA" sheetId="117" r:id="rId19"/>
    <sheet name="Arqueo CJA CHICA" sheetId="119" r:id="rId20"/>
    <sheet name="Arqueo COBRANZAS" sheetId="106" r:id="rId21"/>
    <sheet name="Arqueo FONDOS A R" sheetId="118" r:id="rId22"/>
    <sheet name="Anexo 2 (Chequera 1)" sheetId="129" r:id="rId23"/>
    <sheet name="Anexo 3 (Zonas de exclusión)" sheetId="111" state="hidden" r:id="rId24"/>
    <sheet name="Límite" sheetId="121" r:id="rId25"/>
    <sheet name="Lím1Cajero" sheetId="113" r:id="rId26"/>
    <sheet name="Lím2Cajeros" sheetId="114" r:id="rId27"/>
    <sheet name="Documentos a requerir" sheetId="88" state="hidden" r:id="rId28"/>
  </sheets>
  <definedNames>
    <definedName name="_xlnm._FilterDatabase" localSheetId="2" hidden="1">FormAdministrativo!$A$8:$H$20</definedName>
    <definedName name="_xlnm._FilterDatabase" localSheetId="8" hidden="1">FormBienesAdj!$A$6:$H$8</definedName>
    <definedName name="_xlnm._FilterDatabase" localSheetId="6" hidden="1">FormCanjeFraccionamiento!$A$8:$H$12</definedName>
    <definedName name="_xlnm._FilterDatabase" localSheetId="4" hidden="1">FormCaptaciones!$A$8:$H$23</definedName>
    <definedName name="_xlnm._FilterDatabase" localSheetId="7" hidden="1">FormContratos!$A$6:$H$8</definedName>
    <definedName name="_xlnm._FilterDatabase" localSheetId="1" hidden="1">FormOperativo!$A$8:$H$66</definedName>
    <definedName name="_xlnm._FilterDatabase" localSheetId="5" hidden="1">FormPuntoReclamo!$A$8:$H$10</definedName>
    <definedName name="_xlnm._FilterDatabase" localSheetId="3" hidden="1">FormSeguridaFisica!$A$8:$H$33</definedName>
    <definedName name="_xlnm.Print_Area" localSheetId="22">'Anexo 2 (Chequera 1)'!$A$1:$D$17</definedName>
    <definedName name="_xlnm.Print_Area" localSheetId="23">'Anexo 3 (Zonas de exclusión)'!$A$1:$M$14</definedName>
    <definedName name="_xlnm.Print_Area" localSheetId="18">'Arqueo BÓVEDA'!$A$1:$T$69</definedName>
    <definedName name="_xlnm.Print_Area" localSheetId="19">'Arqueo CJA CHICA'!$A$1:$T$69</definedName>
    <definedName name="_xlnm.Print_Area" localSheetId="20">'Arqueo COBRANZAS'!$A$1:$T$69</definedName>
    <definedName name="_xlnm.Print_Area" localSheetId="21">'Arqueo FONDOS A R'!$A$1:$T$69</definedName>
    <definedName name="_xlnm.Print_Area" localSheetId="2">FormAdministrativo!$A$1:$G$20</definedName>
    <definedName name="_xlnm.Print_Area" localSheetId="8">FormBienesAdj!$A$1:$G$8</definedName>
    <definedName name="_xlnm.Print_Area" localSheetId="6">FormCanjeFraccionamiento!$A$1:$G$12</definedName>
    <definedName name="_xlnm.Print_Area" localSheetId="4">FormCaptaciones!$A$1:$G$23</definedName>
    <definedName name="_xlnm.Print_Area" localSheetId="7">FormContratos!$A$1:$G$8</definedName>
    <definedName name="_xlnm.Print_Area" localSheetId="1">FormOperativo!$A$1:$G$66</definedName>
    <definedName name="_xlnm.Print_Area" localSheetId="5">FormPuntoReclamo!$A$1:$G$10</definedName>
    <definedName name="_xlnm.Print_Area" localSheetId="3">FormSeguridaFisica!$A$1:$G$33</definedName>
    <definedName name="_xlnm.Print_Area" localSheetId="10">InfAdm!$A$1:$F$34</definedName>
    <definedName name="_xlnm.Print_Area" localSheetId="16">InfBienesAdj!$A$1:$F$34</definedName>
    <definedName name="_xlnm.Print_Area" localSheetId="14">InfCanFrac!$A$1:$F$34</definedName>
    <definedName name="_xlnm.Print_Area" localSheetId="12">InfCapt!$A$1:$F$34</definedName>
    <definedName name="_xlnm.Print_Area" localSheetId="15">InfContratos!$A$1:$F$34</definedName>
    <definedName name="_xlnm.Print_Area" localSheetId="9">InfOperativo!$A$1:$F$32</definedName>
    <definedName name="_xlnm.Print_Area" localSheetId="13">InfPuntRecl!$A$1:$F$34</definedName>
    <definedName name="_xlnm.Print_Area" localSheetId="11">InfSegFis!$A$1:$F$34</definedName>
    <definedName name="_xlnm.Print_Area" localSheetId="25">Lím1Cajero!$A$1:$D$56</definedName>
    <definedName name="_xlnm.Print_Area" localSheetId="26">Lím2Cajeros!$A$1:$H$55</definedName>
    <definedName name="_xlnm.Print_Titles" localSheetId="2">FormAdministrativo!$1:$7</definedName>
    <definedName name="_xlnm.Print_Titles" localSheetId="8">FormBienesAdj!$1:$7</definedName>
    <definedName name="_xlnm.Print_Titles" localSheetId="6">FormCanjeFraccionamiento!$1:$7</definedName>
    <definedName name="_xlnm.Print_Titles" localSheetId="4">FormCaptaciones!$1:$7</definedName>
    <definedName name="_xlnm.Print_Titles" localSheetId="7">FormContratos!$1:$7</definedName>
    <definedName name="_xlnm.Print_Titles" localSheetId="1">FormOperativo!$1:$7</definedName>
    <definedName name="_xlnm.Print_Titles" localSheetId="5">FormPuntoReclamo!$1:$7</definedName>
    <definedName name="_xlnm.Print_Titles" localSheetId="3">FormSeguridaFisica!$1:$7</definedName>
    <definedName name="_xlnm.Print_Titles" localSheetId="10">InfAdm!$2:$7</definedName>
    <definedName name="_xlnm.Print_Titles" localSheetId="16">InfBienesAdj!$2:$7</definedName>
    <definedName name="_xlnm.Print_Titles" localSheetId="14">InfCanFrac!$2:$7</definedName>
    <definedName name="_xlnm.Print_Titles" localSheetId="12">InfCapt!$2:$7</definedName>
    <definedName name="_xlnm.Print_Titles" localSheetId="15">InfContratos!$2:$7</definedName>
    <definedName name="_xlnm.Print_Titles" localSheetId="9">InfOperativo!$7:$7</definedName>
    <definedName name="_xlnm.Print_Titles" localSheetId="13">InfPuntRecl!$2:$7</definedName>
    <definedName name="_xlnm.Print_Titles" localSheetId="11">InfSegFis!$2:$7</definedName>
    <definedName name="_xlnm.Print_Titles" localSheetId="17">Requerimiento!$1:$2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1" i="92" l="1"/>
  <c r="I31" i="92"/>
  <c r="J32" i="93"/>
  <c r="E22" i="117"/>
  <c r="E23" i="117"/>
  <c r="E24" i="117"/>
  <c r="N22" i="117"/>
  <c r="N23" i="117"/>
  <c r="E20" i="117"/>
  <c r="E21" i="117"/>
  <c r="E19" i="117"/>
  <c r="N20" i="117"/>
  <c r="N19" i="117"/>
  <c r="N21" i="117"/>
  <c r="D36" i="113" l="1"/>
  <c r="D8" i="113"/>
  <c r="A46" i="128" l="1"/>
  <c r="A47" i="128" s="1"/>
  <c r="A48" i="128" s="1"/>
  <c r="A49" i="128" s="1"/>
  <c r="A50" i="128" s="1"/>
  <c r="A51" i="128" s="1"/>
  <c r="A52" i="128" s="1"/>
  <c r="A53" i="128" s="1"/>
  <c r="A45" i="128"/>
  <c r="A37" i="128"/>
  <c r="A38" i="128" s="1"/>
  <c r="A39" i="128" s="1"/>
  <c r="A40" i="128" s="1"/>
  <c r="A41" i="128" s="1"/>
  <c r="A36" i="128"/>
  <c r="A31" i="128"/>
  <c r="A32" i="128" s="1"/>
  <c r="A33" i="128" s="1"/>
  <c r="A5" i="128"/>
  <c r="A6" i="128" s="1"/>
  <c r="A7" i="128" s="1"/>
  <c r="A8" i="128" s="1"/>
  <c r="A9" i="128" s="1"/>
  <c r="A10" i="128" s="1"/>
  <c r="A11" i="128" s="1"/>
  <c r="A12" i="128" s="1"/>
  <c r="A13" i="128" s="1"/>
  <c r="A14" i="128" s="1"/>
  <c r="A15" i="128" s="1"/>
  <c r="A16" i="128" s="1"/>
  <c r="A17" i="128" s="1"/>
  <c r="A18" i="128" s="1"/>
  <c r="A19" i="128" s="1"/>
  <c r="A20" i="128" s="1"/>
  <c r="A21" i="128" s="1"/>
  <c r="A22" i="128" s="1"/>
  <c r="A23" i="128" s="1"/>
  <c r="A24" i="128" s="1"/>
  <c r="A25" i="128" s="1"/>
  <c r="A26" i="128" s="1"/>
  <c r="A27" i="128" s="1"/>
  <c r="A28" i="128" s="1"/>
  <c r="D5" i="98"/>
  <c r="D5" i="97"/>
  <c r="D5" i="99"/>
  <c r="D5" i="101"/>
  <c r="D5" i="102"/>
  <c r="D5" i="100"/>
  <c r="D5" i="120"/>
  <c r="D5" i="96"/>
  <c r="D4" i="98"/>
  <c r="D4" i="97"/>
  <c r="D4" i="99"/>
  <c r="D4" i="101"/>
  <c r="D4" i="102"/>
  <c r="D4" i="100"/>
  <c r="D4" i="120"/>
  <c r="D4" i="96"/>
  <c r="D5" i="127"/>
  <c r="D4" i="127"/>
  <c r="D5" i="126"/>
  <c r="D4" i="126"/>
  <c r="D5" i="125"/>
  <c r="D4" i="125"/>
  <c r="D5" i="124"/>
  <c r="D4" i="124"/>
  <c r="D5" i="123"/>
  <c r="D4" i="123"/>
  <c r="D5" i="122"/>
  <c r="D4" i="122"/>
  <c r="D3" i="92"/>
  <c r="D3" i="122" s="1"/>
  <c r="A10" i="123"/>
  <c r="A11" i="123" s="1"/>
  <c r="A12" i="123" s="1"/>
  <c r="A13" i="123" s="1"/>
  <c r="A14" i="123" s="1"/>
  <c r="A15" i="123" s="1"/>
  <c r="A16" i="123" s="1"/>
  <c r="D3" i="100" l="1"/>
  <c r="D3" i="101"/>
  <c r="D3" i="96"/>
  <c r="D3" i="99"/>
  <c r="D3" i="120"/>
  <c r="D3" i="97"/>
  <c r="D3" i="102"/>
  <c r="D3" i="98"/>
  <c r="D3" i="127"/>
  <c r="D3" i="126"/>
  <c r="D3" i="125"/>
  <c r="D3" i="124"/>
  <c r="D3" i="123"/>
  <c r="A10" i="124"/>
  <c r="A17" i="123"/>
  <c r="A19" i="123" s="1"/>
  <c r="A20" i="123" s="1"/>
  <c r="A22" i="123" s="1"/>
  <c r="A10" i="122" l="1"/>
  <c r="A11" i="122" s="1"/>
  <c r="A12" i="122" s="1"/>
  <c r="A13" i="122" s="1"/>
  <c r="A16" i="122" s="1"/>
  <c r="A25" i="93"/>
  <c r="A26" i="93" s="1"/>
  <c r="A12" i="93"/>
  <c r="A14" i="93" s="1"/>
  <c r="A15" i="93" s="1"/>
  <c r="A16" i="93" s="1"/>
  <c r="A17" i="93" s="1"/>
  <c r="A18" i="93" s="1"/>
  <c r="A19" i="93" s="1"/>
  <c r="A20" i="93" s="1"/>
  <c r="A21" i="93" s="1"/>
  <c r="A22" i="93" s="1"/>
  <c r="E30" i="121"/>
  <c r="E29" i="121"/>
  <c r="E28" i="121"/>
  <c r="E27" i="121"/>
  <c r="E26" i="121"/>
  <c r="E25" i="121"/>
  <c r="E24" i="121"/>
  <c r="E23" i="121"/>
  <c r="E22" i="121"/>
  <c r="E21" i="121"/>
  <c r="E20" i="121"/>
  <c r="E19" i="121"/>
  <c r="E18" i="121"/>
  <c r="E17" i="121"/>
  <c r="E16" i="121"/>
  <c r="E15" i="121"/>
  <c r="E14" i="121"/>
  <c r="E13" i="121"/>
  <c r="E12" i="121"/>
  <c r="E11" i="121"/>
  <c r="E10" i="121"/>
  <c r="E9" i="121"/>
  <c r="E8" i="121"/>
  <c r="E7" i="121"/>
  <c r="E6" i="121"/>
  <c r="E5" i="121"/>
  <c r="E4" i="121"/>
  <c r="E3" i="121"/>
  <c r="E2" i="121"/>
  <c r="D5" i="93"/>
  <c r="D4" i="93"/>
  <c r="D3" i="93"/>
  <c r="R39" i="119"/>
  <c r="R38" i="119"/>
  <c r="R37" i="119"/>
  <c r="R36" i="119"/>
  <c r="I36" i="119"/>
  <c r="R35" i="119"/>
  <c r="I35" i="119"/>
  <c r="R34" i="119"/>
  <c r="I34" i="119"/>
  <c r="R33" i="119"/>
  <c r="I33" i="119"/>
  <c r="I41" i="119" s="1"/>
  <c r="I24" i="119"/>
  <c r="R23" i="119"/>
  <c r="I23" i="119"/>
  <c r="R22" i="119"/>
  <c r="I22" i="119"/>
  <c r="R21" i="119"/>
  <c r="I21" i="119"/>
  <c r="R20" i="119"/>
  <c r="I20" i="119"/>
  <c r="R19" i="119"/>
  <c r="I19" i="119"/>
  <c r="R18" i="119"/>
  <c r="I18" i="119"/>
  <c r="R39" i="118"/>
  <c r="R38" i="118"/>
  <c r="R37" i="118"/>
  <c r="R36" i="118"/>
  <c r="I36" i="118"/>
  <c r="R35" i="118"/>
  <c r="I35" i="118"/>
  <c r="R34" i="118"/>
  <c r="I34" i="118"/>
  <c r="R33" i="118"/>
  <c r="I33" i="118"/>
  <c r="I24" i="118"/>
  <c r="R23" i="118"/>
  <c r="I23" i="118"/>
  <c r="R22" i="118"/>
  <c r="I22" i="118"/>
  <c r="R21" i="118"/>
  <c r="I21" i="118"/>
  <c r="R20" i="118"/>
  <c r="I20" i="118"/>
  <c r="R19" i="118"/>
  <c r="I19" i="118"/>
  <c r="R18" i="118"/>
  <c r="I18" i="118"/>
  <c r="R39" i="117"/>
  <c r="R38" i="117"/>
  <c r="R37" i="117"/>
  <c r="R36" i="117"/>
  <c r="I36" i="117"/>
  <c r="R35" i="117"/>
  <c r="I35" i="117"/>
  <c r="R34" i="117"/>
  <c r="I34" i="117"/>
  <c r="R33" i="117"/>
  <c r="I33" i="117"/>
  <c r="I41" i="117" s="1"/>
  <c r="I24" i="117"/>
  <c r="R23" i="117"/>
  <c r="I23" i="117"/>
  <c r="R22" i="117"/>
  <c r="I22" i="117"/>
  <c r="R21" i="117"/>
  <c r="I21" i="117"/>
  <c r="R20" i="117"/>
  <c r="I20" i="117"/>
  <c r="R19" i="117"/>
  <c r="I19" i="117"/>
  <c r="R18" i="117"/>
  <c r="I18" i="117"/>
  <c r="D46" i="114"/>
  <c r="D45" i="114"/>
  <c r="D44" i="114"/>
  <c r="D43" i="114"/>
  <c r="D42" i="114"/>
  <c r="D41" i="114"/>
  <c r="D39" i="114"/>
  <c r="D38" i="114"/>
  <c r="D37" i="114"/>
  <c r="D36" i="114"/>
  <c r="D35" i="114"/>
  <c r="D34" i="114"/>
  <c r="D33" i="114"/>
  <c r="D32" i="114"/>
  <c r="D31" i="114"/>
  <c r="D30" i="114"/>
  <c r="H25" i="114"/>
  <c r="D25" i="114"/>
  <c r="H24" i="114"/>
  <c r="D24" i="114"/>
  <c r="H23" i="114"/>
  <c r="D23" i="114"/>
  <c r="H22" i="114"/>
  <c r="D22" i="114"/>
  <c r="H21" i="114"/>
  <c r="D21" i="114"/>
  <c r="H20" i="114"/>
  <c r="D20" i="114"/>
  <c r="H18" i="114"/>
  <c r="D18" i="114"/>
  <c r="H17" i="114"/>
  <c r="D17" i="114"/>
  <c r="H16" i="114"/>
  <c r="D16" i="114"/>
  <c r="H15" i="114"/>
  <c r="D15" i="114"/>
  <c r="H14" i="114"/>
  <c r="D14" i="114"/>
  <c r="H13" i="114"/>
  <c r="D13" i="114"/>
  <c r="H12" i="114"/>
  <c r="D12" i="114"/>
  <c r="H11" i="114"/>
  <c r="D11" i="114"/>
  <c r="H10" i="114"/>
  <c r="D10" i="114"/>
  <c r="H9" i="114"/>
  <c r="D9" i="114"/>
  <c r="H8" i="114"/>
  <c r="D8" i="114"/>
  <c r="D47" i="113"/>
  <c r="D46" i="113"/>
  <c r="D45" i="113"/>
  <c r="D44" i="113"/>
  <c r="D43" i="113"/>
  <c r="D42" i="113"/>
  <c r="D40" i="113"/>
  <c r="D39" i="113"/>
  <c r="D38" i="113"/>
  <c r="D37" i="113"/>
  <c r="D35" i="113"/>
  <c r="D34" i="113"/>
  <c r="D33" i="113"/>
  <c r="D32" i="113"/>
  <c r="D31" i="113"/>
  <c r="D30" i="113"/>
  <c r="D25" i="113"/>
  <c r="D24" i="113"/>
  <c r="D23" i="113"/>
  <c r="D22" i="113"/>
  <c r="D21" i="113"/>
  <c r="D20" i="113"/>
  <c r="D18" i="113"/>
  <c r="R26" i="118" l="1"/>
  <c r="H26" i="114"/>
  <c r="R26" i="119"/>
  <c r="R41" i="117"/>
  <c r="R58" i="117" s="1"/>
  <c r="R60" i="117" s="1"/>
  <c r="I26" i="117"/>
  <c r="R26" i="117"/>
  <c r="U26" i="117" s="1"/>
  <c r="U25" i="117" s="1"/>
  <c r="A17" i="122"/>
  <c r="A18" i="122" s="1"/>
  <c r="A20" i="122" s="1"/>
  <c r="R41" i="118"/>
  <c r="I41" i="118"/>
  <c r="R41" i="119"/>
  <c r="R58" i="119" s="1"/>
  <c r="R60" i="119" s="1"/>
  <c r="I26" i="118"/>
  <c r="N58" i="118" s="1"/>
  <c r="N60" i="118" s="1"/>
  <c r="I26" i="119"/>
  <c r="D47" i="114"/>
  <c r="D40" i="114"/>
  <c r="D26" i="113"/>
  <c r="D48" i="113"/>
  <c r="H19" i="114"/>
  <c r="H27" i="114" s="1"/>
  <c r="E28" i="114" s="1"/>
  <c r="D26" i="114"/>
  <c r="D19" i="114"/>
  <c r="D27" i="114" s="1"/>
  <c r="A50" i="114" s="1"/>
  <c r="D41" i="113"/>
  <c r="N58" i="119" l="1"/>
  <c r="N60" i="119" s="1"/>
  <c r="N60" i="117"/>
  <c r="R58" i="118"/>
  <c r="R60" i="118" s="1"/>
  <c r="D49" i="113"/>
  <c r="D48" i="114"/>
  <c r="D49" i="114" s="1"/>
  <c r="A51" i="114" s="1"/>
  <c r="R39" i="106" l="1"/>
  <c r="R38" i="106"/>
  <c r="R37" i="106"/>
  <c r="R36" i="106"/>
  <c r="I36" i="106"/>
  <c r="R35" i="106"/>
  <c r="I35" i="106"/>
  <c r="R34" i="106"/>
  <c r="I34" i="106"/>
  <c r="R33" i="106"/>
  <c r="I33" i="106"/>
  <c r="I24" i="106"/>
  <c r="R23" i="106"/>
  <c r="I23" i="106"/>
  <c r="R22" i="106"/>
  <c r="I22" i="106"/>
  <c r="R21" i="106"/>
  <c r="I21" i="106"/>
  <c r="R20" i="106"/>
  <c r="I20" i="106"/>
  <c r="R19" i="106"/>
  <c r="I19" i="106"/>
  <c r="R18" i="106"/>
  <c r="I18" i="106"/>
  <c r="R26" i="106" l="1"/>
  <c r="R41" i="106"/>
  <c r="I41" i="106"/>
  <c r="I26" i="106"/>
  <c r="N58" i="106" l="1"/>
  <c r="N60" i="106" s="1"/>
  <c r="R58" i="106"/>
  <c r="R60" i="106" s="1"/>
  <c r="A11" i="92"/>
  <c r="A12" i="92" s="1"/>
  <c r="A13" i="92" s="1"/>
  <c r="A14" i="92" s="1"/>
  <c r="A15" i="92" s="1"/>
  <c r="A16" i="92" s="1"/>
  <c r="A17" i="92" s="1"/>
  <c r="D9" i="113" l="1"/>
  <c r="D10" i="113"/>
  <c r="D11" i="113"/>
  <c r="D12" i="113"/>
  <c r="D13" i="113"/>
  <c r="D14" i="113"/>
  <c r="D15" i="113"/>
  <c r="D16" i="113"/>
  <c r="D17" i="113"/>
  <c r="D19" i="113" l="1"/>
  <c r="D27" i="113" s="1"/>
  <c r="D50" i="113" s="1"/>
  <c r="A52" i="113" s="1"/>
  <c r="A18" i="92"/>
  <c r="A20" i="92" s="1"/>
  <c r="A21" i="92" s="1"/>
  <c r="A22" i="92" s="1"/>
  <c r="A51" i="113" l="1"/>
  <c r="A24" i="92"/>
  <c r="A27" i="92" s="1"/>
  <c r="A28" i="92" s="1"/>
  <c r="A29" i="92" l="1"/>
  <c r="A30" i="92" s="1"/>
  <c r="A31" i="92" s="1"/>
  <c r="A32" i="92" s="1"/>
  <c r="A33" i="92" s="1"/>
  <c r="A34" i="92" s="1"/>
  <c r="A35" i="92" s="1"/>
  <c r="A36" i="92" s="1"/>
  <c r="A37" i="92" s="1"/>
  <c r="A38" i="92" s="1"/>
  <c r="A41" i="92" l="1"/>
  <c r="A42" i="92" s="1"/>
  <c r="A44" i="92" s="1"/>
  <c r="A45" i="92" s="1"/>
  <c r="A46" i="92" s="1"/>
  <c r="A48" i="92" s="1"/>
  <c r="A49" i="92" s="1"/>
  <c r="A50" i="92" s="1"/>
  <c r="A51" i="92" s="1"/>
  <c r="A52" i="92" s="1"/>
  <c r="A53" i="92" s="1"/>
  <c r="A55" i="92" s="1"/>
  <c r="A56" i="92" s="1"/>
  <c r="A57" i="92" s="1"/>
  <c r="A59" i="92" s="1"/>
  <c r="A60" i="92" s="1"/>
  <c r="A61" i="92" s="1"/>
  <c r="A63" i="92" s="1"/>
  <c r="A64" i="92" s="1"/>
  <c r="A66" i="92" s="1"/>
</calcChain>
</file>

<file path=xl/sharedStrings.xml><?xml version="1.0" encoding="utf-8"?>
<sst xmlns="http://schemas.openxmlformats.org/spreadsheetml/2006/main" count="1320" uniqueCount="508">
  <si>
    <t>N/A</t>
  </si>
  <si>
    <t>CIDRE IFD</t>
  </si>
  <si>
    <t>SI</t>
  </si>
  <si>
    <t xml:space="preserve">Nº </t>
  </si>
  <si>
    <t>OBSERVACIONES</t>
  </si>
  <si>
    <t xml:space="preserve">Verificar los cheques anulados y conciliar con los registros en el sistema y que estos estén relativamente anulados en el sistema según el número de cheques. </t>
  </si>
  <si>
    <r>
      <t xml:space="preserve">Verificar el llenado en el </t>
    </r>
    <r>
      <rPr>
        <b/>
        <sz val="10"/>
        <rFont val="Tahoma"/>
        <family val="2"/>
      </rPr>
      <t>"Libro de Ingreso y Salida de Carpetas Legales de Bóveda"</t>
    </r>
    <r>
      <rPr>
        <sz val="10"/>
        <rFont val="Tahoma"/>
        <family val="2"/>
      </rPr>
      <t xml:space="preserve"> y el formulario denominado </t>
    </r>
    <r>
      <rPr>
        <b/>
        <sz val="10"/>
        <rFont val="Tahoma"/>
        <family val="2"/>
      </rPr>
      <t>"Transferencia y Entrega de Documentos de Valor"</t>
    </r>
  </si>
  <si>
    <t>Revisar documentación de respaldo con respecto al mantenimiento de las claves y cerraduras de las bóvedas realizadas una vez al año en coordinación con el Analista de seguridad.</t>
  </si>
  <si>
    <t>Verificar que el PAF cuente con un ambiente habilitado y adecuado para la atención de depósitos y retiros de montos mayores.</t>
  </si>
  <si>
    <t xml:space="preserve">FECHA: </t>
  </si>
  <si>
    <t xml:space="preserve">AGENCIA: </t>
  </si>
  <si>
    <t xml:space="preserve">AUDITOR INTERNO: </t>
  </si>
  <si>
    <t>PROCEDIMIENTOS</t>
  </si>
  <si>
    <t>CRITERIO</t>
  </si>
  <si>
    <t>RESULTADOS</t>
  </si>
  <si>
    <t>PROGRAMA DE AUDITORIA 
(SEGURIDAD FÍSICA)</t>
  </si>
  <si>
    <t>PROGRAMA DE AUDITORIA 
(CAPTACIONES)</t>
  </si>
  <si>
    <t>REGLAMENTO INTERNO DE CUSTODIA DE VALORES, BÓVEDA Y CAJAS</t>
  </si>
  <si>
    <r>
      <t>Verificar el correcto llenado del libro "</t>
    </r>
    <r>
      <rPr>
        <b/>
        <sz val="10"/>
        <rFont val="Tahoma"/>
        <family val="2"/>
      </rPr>
      <t>Planilla de Control de Ingreso y Salida de Bóveda</t>
    </r>
    <r>
      <rPr>
        <sz val="10"/>
        <rFont val="Tahoma"/>
        <family val="2"/>
      </rPr>
      <t>", y que este  foliado y notariado.</t>
    </r>
  </si>
  <si>
    <r>
      <t xml:space="preserve">Verificar el correcto llenado de los cheques emitidos y anulados en el </t>
    </r>
    <r>
      <rPr>
        <b/>
        <sz val="10"/>
        <rFont val="Tahoma"/>
        <family val="2"/>
      </rPr>
      <t>"Libro de Control de Chequeras".</t>
    </r>
  </si>
  <si>
    <t>REGLAMENTO INTERNO DE ARQUEOS MENSUALES</t>
  </si>
  <si>
    <t>Verificar la existencia física, el estado y la codificación de los activos fijos, de acuerdo a la muestra aleatoria.</t>
  </si>
  <si>
    <t>Verificar que el vehículo cuente con el equipo de seguridad o emergencia, como ser: cinturones de seguridad, un extintor de incendios, un botiquín de primeros auxilios, herramientas y un kit de señalización de peligros.</t>
  </si>
  <si>
    <t>D. REVISIÓN DE CHEQUERAS</t>
  </si>
  <si>
    <t>REGLAMENTO INTERNO PARA EL USO DE VEHICULO</t>
  </si>
  <si>
    <t xml:space="preserve">REGLAMENTO INTERNO DE CONTABILIDAD </t>
  </si>
  <si>
    <t>A. ACTIVOS FIJOS (BIENES DE USO)</t>
  </si>
  <si>
    <t>B. ALMACEN DE MATERIALES (OTROS ACTIVOS)</t>
  </si>
  <si>
    <t>REGLAMENTO INTERNO PARA PUNTO DE RECLAMO</t>
  </si>
  <si>
    <r>
      <t xml:space="preserve">Verificar el correcto llenado del libro </t>
    </r>
    <r>
      <rPr>
        <b/>
        <sz val="10"/>
        <rFont val="Tahoma"/>
        <family val="2"/>
      </rPr>
      <t>"Detalle de Correspondencia Recibida"</t>
    </r>
    <r>
      <rPr>
        <sz val="10"/>
        <rFont val="Tahoma"/>
        <family val="2"/>
      </rPr>
      <t xml:space="preserve">. </t>
    </r>
  </si>
  <si>
    <r>
      <t xml:space="preserve">Verificar el correcto llenado del libro </t>
    </r>
    <r>
      <rPr>
        <b/>
        <sz val="10"/>
        <rFont val="Tahoma"/>
        <family val="2"/>
      </rPr>
      <t>"Detalle de Correspondencia Despachada"</t>
    </r>
    <r>
      <rPr>
        <sz val="10"/>
        <rFont val="Tahoma"/>
        <family val="2"/>
      </rPr>
      <t xml:space="preserve">. </t>
    </r>
  </si>
  <si>
    <r>
      <t xml:space="preserve">Verificar el correcto llenado de la hoja de </t>
    </r>
    <r>
      <rPr>
        <b/>
        <sz val="10"/>
        <rFont val="Tahoma"/>
        <family val="2"/>
      </rPr>
      <t>"Control Diario en Agencias"</t>
    </r>
    <r>
      <rPr>
        <sz val="10"/>
        <rFont val="Tahoma"/>
        <family val="2"/>
      </rPr>
      <t xml:space="preserve">. </t>
    </r>
  </si>
  <si>
    <r>
      <t>Verificar que se cuente con el</t>
    </r>
    <r>
      <rPr>
        <b/>
        <sz val="10"/>
        <rFont val="Tahoma"/>
        <family val="2"/>
      </rPr>
      <t xml:space="preserve"> "Reporte Consumidor Financiero Frecuente"</t>
    </r>
    <r>
      <rPr>
        <sz val="10"/>
        <rFont val="Tahoma"/>
        <family val="2"/>
      </rPr>
      <t xml:space="preserve"> para canje y fraccionamiento de material monetario.</t>
    </r>
  </si>
  <si>
    <r>
      <t xml:space="preserve">Verificar el correcto llenado del </t>
    </r>
    <r>
      <rPr>
        <b/>
        <sz val="10"/>
        <rFont val="Tahoma"/>
        <family val="2"/>
      </rPr>
      <t xml:space="preserve">"Libro  de Ingreso y Salida de Documentos de Valor", </t>
    </r>
    <r>
      <rPr>
        <sz val="10"/>
        <rFont val="Tahoma"/>
        <family val="2"/>
      </rPr>
      <t>donde se registren ingresos y salidas del área de bóveda de documento como ser: DPF en blanco, tarjetas de débito sin asignación, documentos de propiedad, sobre lacrados con llaves y/o claves y otros.</t>
    </r>
  </si>
  <si>
    <r>
      <t xml:space="preserve">Verificar que se cuente con el </t>
    </r>
    <r>
      <rPr>
        <b/>
        <sz val="10"/>
        <rFont val="Tahoma"/>
        <family val="2"/>
      </rPr>
      <t>"Comprobante de Rechazo"</t>
    </r>
    <r>
      <rPr>
        <sz val="10"/>
        <rFont val="Tahoma"/>
        <family val="2"/>
      </rPr>
      <t xml:space="preserve"> de canje y fraccionamiento de material monetario.</t>
    </r>
  </si>
  <si>
    <r>
      <t>Verificar que los vehículos de cuatro ruedas o motocicletas sean asignado mediante el formulario de</t>
    </r>
    <r>
      <rPr>
        <b/>
        <sz val="10"/>
        <rFont val="Tahoma"/>
        <family val="2"/>
      </rPr>
      <t xml:space="preserve"> "Asignación de Vehículos"</t>
    </r>
    <r>
      <rPr>
        <sz val="10"/>
        <rFont val="Tahoma"/>
        <family val="2"/>
      </rPr>
      <t>, debidamente firmado por el responsable de la asignación.</t>
    </r>
  </si>
  <si>
    <t>REGLAMENTO INTERNO DE ARCHIVO E INVENTARIO DE CARPETAS LEGALES</t>
  </si>
  <si>
    <t>Realizar inventario de carpetas legales de acuerdo a una muestra.</t>
  </si>
  <si>
    <t>REGLAMENTO INTERNO DE EVALUACIÓN Y ANÁLISIS</t>
  </si>
  <si>
    <t>Realizar inventario de carpetas operativa de acuerdo a una muestra.</t>
  </si>
  <si>
    <t>REGLAMENTO DE RECIBOS DE COBRANZA</t>
  </si>
  <si>
    <t xml:space="preserve">N.º </t>
  </si>
  <si>
    <r>
      <t xml:space="preserve">Verificar que el Operativo de Agencia realice un </t>
    </r>
    <r>
      <rPr>
        <b/>
        <sz val="10"/>
        <rFont val="Tahoma"/>
        <family val="2"/>
      </rPr>
      <t>registro histórico y actualizado de los desembolsos anticipados con el trámite pendiente de perfeccionamiento de garantía</t>
    </r>
    <r>
      <rPr>
        <sz val="10"/>
        <rFont val="Tahoma"/>
        <family val="2"/>
      </rPr>
      <t>, debiendo efectuar seguimiento a su regularización e informar la situación de los mismos de forma mensual al Jefe de Agencia, Gerente de Sucursal, Asesor Legal de Sucursal y a la Unidad de Operaciones</t>
    </r>
  </si>
  <si>
    <t>REGLAMENTO INTERNO DE TASAS DE INTERÉS</t>
  </si>
  <si>
    <r>
      <t xml:space="preserve">Verificar que las carpetas legales, se encuentren archivadas y rotuladas de la siguiente manera:
*En archivadores de palanca por orden cronológico a la fecha de desembolso para los </t>
    </r>
    <r>
      <rPr>
        <b/>
        <sz val="10"/>
        <rFont val="Tahoma"/>
        <family val="2"/>
      </rPr>
      <t>créditos con garantía no sujeto a registro</t>
    </r>
    <r>
      <rPr>
        <sz val="10"/>
        <rFont val="Tahoma"/>
        <family val="2"/>
      </rPr>
      <t xml:space="preserve">, como ser: garantía personal, quirografaria y prendaria sin registro, debiendo ser custodiados en ambiente de bóveda o caja fuerte.
*En gavetas por orden alfabético (apellido paterno) y por carpeta separada para </t>
    </r>
    <r>
      <rPr>
        <b/>
        <sz val="10"/>
        <rFont val="Tahoma"/>
        <family val="2"/>
      </rPr>
      <t>garantías sujetas a registro y documentos en custodia</t>
    </r>
    <r>
      <rPr>
        <sz val="10"/>
        <rFont val="Tahoma"/>
        <family val="2"/>
      </rPr>
      <t>, como ser: garantía hipotecarias, prendarias sujeta a registro y documentos en custodia, debiendo ser custodiadas en el ambiente de bóveda o caja fuerte y/o en áreas de restricción, bajo llave.
*Rotulo de la carpeta legal: nombre y código de cuenta de cliente, respetando en todo momento el tipo de letra arial, tamaño 22, posición horizontal.</t>
    </r>
  </si>
  <si>
    <t>Verificar que cada Oficial de Servicios Financieros realice inventario de las carpetas operativas que se encuentren bajo su cargo, por lo menos una vez al año.</t>
  </si>
  <si>
    <r>
      <t>Verificar que el Operativo de Agencia realice el</t>
    </r>
    <r>
      <rPr>
        <b/>
        <sz val="10"/>
        <rFont val="Tahoma"/>
        <family val="2"/>
      </rPr>
      <t xml:space="preserve"> registro de las excepciones definitivas y temporales</t>
    </r>
    <r>
      <rPr>
        <sz val="10"/>
        <rFont val="Tahoma"/>
        <family val="2"/>
      </rPr>
      <t xml:space="preserve"> aprobadas para el desembolso de las operaciones de crédito, llevando un control de su regularización cuando corresponda.
*archivo de excepciones actualizado e informar por lo menos mensualmente al Jefe de Agencia, Gerente de Sucursal y a la Unidad de Operaciones.</t>
    </r>
  </si>
  <si>
    <t>Verificar que los recibos de cobranza anulados cuenten:
1. Con original y las 2 copias.
2. Con autorización del Operativo de Agencia. 
3. Con sello de ANULADO.</t>
  </si>
  <si>
    <t xml:space="preserve">Verificar que los recibos de cobranza extraviados cuenten: 
1. Comunicación dentro las 24 horas al operativo de agencia y jefe de agencia.
2. Publicación durante tres días en diario de circulación nacional. 
</t>
  </si>
  <si>
    <t>REGLAMENTO INTERNO DE SEGURIDAD FISICA</t>
  </si>
  <si>
    <t>REGLAMENTO INTERNO DE CAJAS DE AHORRO</t>
  </si>
  <si>
    <t>Verificar el  inventario físico de existencias en almacenes de forma semestral realizado por la Jefatura Nacional de Administración y Seguridad Física.</t>
  </si>
  <si>
    <r>
      <t xml:space="preserve">Verificar el correcto llenado del </t>
    </r>
    <r>
      <rPr>
        <b/>
        <sz val="10"/>
        <rFont val="Tahoma"/>
        <family val="2"/>
      </rPr>
      <t>"Libro Control de Vehículo"</t>
    </r>
    <r>
      <rPr>
        <sz val="10"/>
        <rFont val="Tahoma"/>
        <family val="2"/>
      </rPr>
      <t xml:space="preserve"> en el cual se consigne la fecha, hora, el nombre y firma de la persona que realiza la entrega, de llaves al Operativo de Agencia.
*Facturas de compra de gasolina coincidan con lo registrado en el formulario.
*kilometraje semanalmente que coincida con el día anterior.
*Limpieza del vehículo.</t>
    </r>
  </si>
  <si>
    <t>Verificar que en ambientes de Área de Cajas cuente:
*Chapas de seguridad que permitan solo el ingreso del personal autorizado.
*Las cámaras de seguridad  que deberá permitir la visualización del cliente y mesón de cajas.
*Verificar que cada caja cuenta con botón de pánico no auditable.</t>
  </si>
  <si>
    <t>Verificar que el Operativo de Agencia realice inventario de carpetas legales de forma anual, en coordinación con la Jefatura Nacional de Operaciones.
*Inventario debe ser documentado con el listado de créditos, firma y sello del responsable e informe resumen.
*Además deber realizar inventario en caso de rotación, desvinculación o baja medica por maternidad con ausencia de 3 a 4 meses.</t>
  </si>
  <si>
    <t xml:space="preserve">Verificar que las carpetas operativas de crédito se archiven por orden alfabético, debiendo estar bajo la custodia del Oficial de Servicios Financieros respectivo. </t>
  </si>
  <si>
    <t>PROGRAMA DE AUDITORIA 
(CONTROL INTERNO CONTRATOS)</t>
  </si>
  <si>
    <t>Verificar que los contratos modelo estén a disposición de los clientes para su previa lectura, deberá encontrase junto a los folletos de fácil acceso. 
*Contrato modelo de préstamo de dinero "CRÉDITO DE VIVIENDA".
*Contrato modelo de préstamo de dinero "SECTOR PRODUCTIVO".
*Contrato de cuenta "CAJA DE AHORRO".
*Contrato de "DEPÓSITO A PLAZO FIJO".
*Contrato modelo para "LÍNEA DE CRÉDITO".</t>
  </si>
  <si>
    <r>
      <t xml:space="preserve">Punto 6 del articulo 5º Materiales: papelería, útiles y material de escritorio, Capitulo VII del Reglamento Interno de Contabilidad, dispone: </t>
    </r>
    <r>
      <rPr>
        <i/>
        <sz val="10"/>
        <rFont val="Tahoma"/>
        <family val="2"/>
      </rPr>
      <t xml:space="preserve">"El inventario físico de las existencias de almacenes se realizará en forma semestral, igualando con los registros contables, siendo responsabilidad de la Jefatura Nacional de Administración y Seguridad Física los inventarios físicos."
</t>
    </r>
  </si>
  <si>
    <r>
      <t>Punto 5 del articulo 1º Asignaciones por cargo y autorización, Capitulo Único del Reglamento Interno para Uso de Vehículos, dispone:</t>
    </r>
    <r>
      <rPr>
        <i/>
        <sz val="10"/>
        <rFont val="Tahoma"/>
        <family val="2"/>
      </rPr>
      <t xml:space="preserve"> "La asignación de vehículos, sean estos de cuatro ruedas o motocicletas, se la efectuará mediante el llenado del Formulario de Asignación de vehículo el cual deberá estar debidamente firmado por el responsable de la asignación."</t>
    </r>
  </si>
  <si>
    <r>
      <t>Inciso e. del punto 3 del articulo 5º Uso y mantenimiento de los vehículos, Capitulo Único del Reglamento Interno para Uso de Vehículos, dispone:</t>
    </r>
    <r>
      <rPr>
        <i/>
        <sz val="10"/>
        <rFont val="Tahoma"/>
        <family val="2"/>
      </rPr>
      <t xml:space="preserve"> "Se deberá colocar y guardar adecuadamente todo el equipo de seguridad o emergencia. Todos los vehículos deben tener el siguiente equipo de seguridad o emergencia, como mínimo: cinturones de seguridad, un extintor de incendios, un botiquín de primeros auxilios, herramientas y un kit de señalización de peligros."</t>
    </r>
  </si>
  <si>
    <r>
      <t xml:space="preserve">Articulo 7º Recepción  de  cheques  ajenos  y/o  visados, Sección 2, Capitulo IV, Titulo I, Libro 4º de la RNSF de ASFI, dispone: </t>
    </r>
    <r>
      <rPr>
        <i/>
        <sz val="10"/>
        <color theme="1"/>
        <rFont val="Tahoma"/>
        <family val="2"/>
      </rPr>
      <t>"La  entidad  supervisada  tiene  la obligación de comunicar a los consumidores financieros, los horarios de atención para la recepción de cheques ajenos y visados, exponiendo el mismo en lugares visibles de todos los PAF en los que se preste este servicio. "</t>
    </r>
  </si>
  <si>
    <r>
      <t xml:space="preserve">Punto 3 del articulo 4º Revisión y control de efectivo, Capitulo Único del Reglamento Interno de Arqueos mensuales, dispone: </t>
    </r>
    <r>
      <rPr>
        <i/>
        <sz val="10"/>
        <rFont val="Tahoma"/>
        <family val="2"/>
      </rPr>
      <t>"El Operativo de Agencia, es el responsable de realizar mínimamente dos arqueos sorpresivos en el mes a los cajeros en cualquier momento de la jornada laboral."</t>
    </r>
  </si>
  <si>
    <t>E. AREA DE CAJAS</t>
  </si>
  <si>
    <t>Verificar que cada funcionario porte el credencial durante el período de trabajo.</t>
  </si>
  <si>
    <t xml:space="preserve">Verificar la exposición de las tasas de interés activas y la tasa de interés de referencia (TRe), en las pizarras ubicadas en un lugar visible al publico en general. </t>
  </si>
  <si>
    <t>A. FUNCIONES DE SEGURIDAD FÍSICA</t>
  </si>
  <si>
    <t>Ariel Balderrama</t>
  </si>
  <si>
    <t>Conograma de cambio de la clave de caja fuerte (ambiente de bóveda) cada 6 meses y reeemplazo de los sobres lacrados.</t>
  </si>
  <si>
    <t>Realizar arqueo de Bóveda, caja, caja chica y fondos a rendir en presencia del responsable.
*No esta permitido efectivo en ventanillas de caja al finalizar la jornada de trabajo.
*Fotocopiar los CHEQUES, si se encontraran, durante el arqueo.
*No se permite vales como efectivo.
*Fotocopia o copia del comprobante del faltante o sobrante detectado en el arqueo.</t>
  </si>
  <si>
    <t>Cajeros deben sellar y rubricar todas las operaciones y transacciones que proceda en su caja.</t>
  </si>
  <si>
    <t>Verificar que el cajero informe al asistente operativo de agencia (en su ausencia al operativo de agencia) la detección de un billete falso, debiendo ambos conocer el procedimiento del Banco Central de Bolivia a seguir ante la detección de un billete falso.</t>
  </si>
  <si>
    <t>Marisol Oporto</t>
  </si>
  <si>
    <t>Limites de efectivo en cada agencia modificado el 12/11/2021 según acta Nº 37/2021 de Directorio.</t>
  </si>
  <si>
    <r>
      <t xml:space="preserve">Verificar el correcto llenado en el </t>
    </r>
    <r>
      <rPr>
        <b/>
        <sz val="10"/>
        <rFont val="Tahoma"/>
        <family val="2"/>
      </rPr>
      <t>"Libro de Control de Carpetas para Desembolso".</t>
    </r>
  </si>
  <si>
    <t>Verificar que el Operativo de Agencia realice mínimamente 2 arqueos a los cajeros cada mes.
*Arqueos realizados deberá ser archivado por el operativo de agencia.</t>
  </si>
  <si>
    <t>Verificar que el Gerente de Sucursal realice al menos un arqueo a caja chica asignada como oficina regional. Sin embargo puede delegar al Jefe u Operativo de Agencia vía correo electrónico.
*En oficina nacional el jefe de contabilidad es responsable de instruir la realización de al menos un arqueo a caja chica.
*Arqueos deberá ser archivado por quien realiza el arqueo, en caso de la oficina nacional deberá ser archivado en la Jefatura del área de Contabilidad.</t>
  </si>
  <si>
    <t>Verificar que los conductores de los vehículos y motocicletas cuenten con la licencia de conducir vigente.</t>
  </si>
  <si>
    <t>Roberth</t>
  </si>
  <si>
    <t>SOLICITAR</t>
  </si>
  <si>
    <t>Informe semestral sobre el estado de conservación de los bienes fuera de uso presentado a Gerencia de Sucursal con copia a GNOF.</t>
  </si>
  <si>
    <t>Jhonatan Miranda</t>
  </si>
  <si>
    <r>
      <t>Verificar que todo el personal cuente con el</t>
    </r>
    <r>
      <rPr>
        <b/>
        <sz val="10"/>
        <rFont val="Tahoma"/>
        <family val="2"/>
      </rPr>
      <t xml:space="preserve"> “Acta de Entrega de Activos Fijos”.</t>
    </r>
  </si>
  <si>
    <t>Claudia</t>
  </si>
  <si>
    <t>Inventario fisico semestral de los bienes de uso. (ver que bienes se encuentran fuera de uso)</t>
  </si>
  <si>
    <t>Inventario fisico de las existencias en almacenes semestral.</t>
  </si>
  <si>
    <t>Bajas de material de almacen que se encuentra en desuso semestral (ver la verificación de la SNAI y autorizacion escrita de la GNOF)</t>
  </si>
  <si>
    <t>PROGRAMA DE AUDITORIA 
(PUNTO RECLAMO)</t>
  </si>
  <si>
    <t>Verificar que en el área del Encargado del Punto de Reclamo la exposición:
*Letrero de PUNTO DE RECLAMO, según diseño y colores definidos por ASFI.</t>
  </si>
  <si>
    <t>PROGRAMA DE AUDITORIA 
(CANJE Y FRACCIONAMIENTO DE MATERIAL MONETARIO)</t>
  </si>
  <si>
    <t>REGLAMENTO INTERNO DE GESTIÓN DE MATERIAL MONETARIO</t>
  </si>
  <si>
    <t>1</t>
  </si>
  <si>
    <t>Verificar  que el sistema informático de dispensador de tickets o fichas, tenga una opción exclusiva para otorgar los servicios de canje y fraccionamiento de material monetario.</t>
  </si>
  <si>
    <r>
      <t>Articulo 4º Asignación de fichas para canje y fraccionamiento, Capitulo I del Reglamento Interno de Gestión de Material Monetario, que dispone:</t>
    </r>
    <r>
      <rPr>
        <i/>
        <sz val="10"/>
        <rFont val="Tahoma"/>
        <family val="2"/>
      </rPr>
      <t xml:space="preserve"> "La Entidad en todas sus agencias, habilita en el sistema informático de dispensadores de tickets o fichas, la opción exclusiva para otorgar los servicios de canje y fraccionamiento de material monetario, en cumplimiento a la normativa establecida en la Recopilación de Normas y Servicios Financieros (RNSF)."</t>
    </r>
  </si>
  <si>
    <t>Verificar que el efectivo resguardado en caja durante el horario de atención al publico cumpla con el limite máximo de Bs 100.000.-
*Solo en casos de desembolso de créditos hasta Bs160000.-</t>
  </si>
  <si>
    <t>REGLAMENTO INTERNO DE INSTRUMENTACIÓN Y DESEMBOLSO</t>
  </si>
  <si>
    <t>Preguntar sobre que muestra se trabajara las carpetas de cajas de ahorro y DFP</t>
  </si>
  <si>
    <t>Y si las carpetas fisicas de cajas de ahorro y DPF se traeran en las visitas o se pdira escaneados</t>
  </si>
  <si>
    <t xml:space="preserve">Llevar carpetas credito sujetas de visita </t>
  </si>
  <si>
    <t>Tarifario de tasas pasivas vigente</t>
  </si>
  <si>
    <t xml:space="preserve">Determinación de calificación de riesgo por agencia </t>
  </si>
  <si>
    <t>Realizar inventario de carpetas de clientes (cajas de ahorro) de acuerdo a una muestra.
*La carpeta del cliente debe contener un “rotulado” con el nombre completo del titular (MAYÚSCULA) y el número de cuenta cliente. Para el caso de Persona Jurídica, se debe registrar la razón social y código de cliente de la empresa o entidad.</t>
  </si>
  <si>
    <t>Verificar que las carpetas de caja ahorro, se encuentren archivadas por:
*Orden alfabético (apellido paterno, seguido del materno y nombre).
*Dos archivos separados: uno para cuentas de personas naturales y otro para cuentas de personas jurídicas.
*Deben ser resguardadas en un lugar restringido, bajo la responsabilidad directa del Operativo de Agencia.</t>
  </si>
  <si>
    <r>
      <t xml:space="preserve">Punto 3 del articulo 26º Armado de Carpetas, Capitulo I del Reglamento Interno de Cajas de ahorro, dispone: </t>
    </r>
    <r>
      <rPr>
        <i/>
        <sz val="10"/>
        <color theme="1"/>
        <rFont val="Tahoma"/>
        <family val="2"/>
      </rPr>
      <t>"La carpeta del cliente debe contener un “rotulado” con el nombre completo del titular (MAYÚSCULA) y el número de cuenta cliente, información pegada en la carpeta tomando la precaución de que a futuro no se desprenda, fijándola en la parte sobresaliente de la carpeta (folder amarillo). Para el caso de Persona Jurídica, se debe registrar la razón social y código de cliente de la empresa o entidad."</t>
    </r>
  </si>
  <si>
    <r>
      <t xml:space="preserve">Inciso h. del punto 2 del articulo 4º Funciones del Jefe de Agencia, Capitulo I del Reglamento Interno de Seguridad física, dispone: </t>
    </r>
    <r>
      <rPr>
        <i/>
        <sz val="10"/>
        <color theme="1"/>
        <rFont val="Tahoma"/>
        <family val="2"/>
      </rPr>
      <t>"Efectuar pruebas periódicas del sistema de alarmas."</t>
    </r>
  </si>
  <si>
    <r>
      <t xml:space="preserve">Verificar el correcto llenado del libro </t>
    </r>
    <r>
      <rPr>
        <b/>
        <sz val="10"/>
        <color rgb="FF000000"/>
        <rFont val="Tahoma"/>
        <family val="2"/>
      </rPr>
      <t>"Bitácora de registro de accesos a la sala de comunicaciones."</t>
    </r>
  </si>
  <si>
    <r>
      <t xml:space="preserve">Artículo 13º Retiros  y  Depósitos  de  Montos  Mayores, Sección 2, Capitulo II, Título I, Libro 4º de la RNSF de ASFI, dispone: </t>
    </r>
    <r>
      <rPr>
        <i/>
        <sz val="10"/>
        <color rgb="FF000000"/>
        <rFont val="Tahoma"/>
        <family val="2"/>
      </rPr>
      <t>"La  entidad  de  intermediación financiera  debe  habilitar  ambientes  separados  y/o  adecuados  para  la  atención  de  depósitos  y retiros de montos mayores, en cada una de sus Agencias Fijas, Sucursales y Oficina Central en las que preste este servicio, sin que ello implique una atención preferente. Dichos ambientes deben contar  con  las  medidas  de  seguridad  y  procedimientos,  que  la  entidad  de  intermediación financiera considere pertinentes, para la protección de la integridad física de los consumidores financieros, así como del material monetario a ser retirado o depositado"</t>
    </r>
  </si>
  <si>
    <t>DEPOSITOS A PLAZO FIJO</t>
  </si>
  <si>
    <t>TARJETA DE DEBITO</t>
  </si>
  <si>
    <r>
      <t xml:space="preserve">Verificar el correcto registro de las tarjetas de débito emitidos y entregados en el </t>
    </r>
    <r>
      <rPr>
        <b/>
        <sz val="10"/>
        <color rgb="FF000000"/>
        <rFont val="Tahoma"/>
        <family val="2"/>
      </rPr>
      <t>"Libro de Registro de Entrega de tarjetas de Débito",</t>
    </r>
    <r>
      <rPr>
        <sz val="10"/>
        <color rgb="FF000000"/>
        <rFont val="Tahoma"/>
        <family val="2"/>
      </rPr>
      <t xml:space="preserve"> con la firma del cliente.</t>
    </r>
  </si>
  <si>
    <r>
      <t xml:space="preserve">*2), articulo 20º (Armado de carpetas de DPF), del Capitulo I, del Reglamento Interno de Depósitos a Plazo Fijo, señala: </t>
    </r>
    <r>
      <rPr>
        <i/>
        <sz val="10"/>
        <rFont val="Tahoma"/>
        <family val="2"/>
      </rPr>
      <t>"La copia del certificado de DPF debe ser resguardado físicamente en ambiente de Bóveda Agencia, en orden correlativo por código de cuenta en archivador de palanca)."</t>
    </r>
    <r>
      <rPr>
        <sz val="10"/>
        <rFont val="Tahoma"/>
        <family val="2"/>
      </rPr>
      <t xml:space="preserve">
*Punto 16 del artículo 2º Custodia de valores, Capitulo III del Reglamento Interno de custodia de Valores Bóveda y Cajas, dispone: </t>
    </r>
    <r>
      <rPr>
        <i/>
        <sz val="10"/>
        <rFont val="Tahoma"/>
        <family val="2"/>
      </rPr>
      <t>"Se establece que las copias de los Certificados de Depósitos a Plazo Fijo emitidos deben ser resguardados por el Operativo de Agencia o Sucursal, en archivadores de palanca, en el ambiente de caja fuerte/bóveda y en orden correlativo de emisión."</t>
    </r>
  </si>
  <si>
    <r>
      <t xml:space="preserve">Verificar el correcto registro en el </t>
    </r>
    <r>
      <rPr>
        <b/>
        <sz val="10"/>
        <color theme="1"/>
        <rFont val="Tahoma"/>
        <family val="2"/>
      </rPr>
      <t>"Libro de Control por Tarjetas de Débito Retenidas en Cajeros Automáticos”</t>
    </r>
    <r>
      <rPr>
        <sz val="10"/>
        <color theme="1"/>
        <rFont val="Tahoma"/>
        <family val="2"/>
      </rPr>
      <t>, Operativo de Agencia deberá verificar los datos del cliente en sistemas y pedirá la firma del cliente.</t>
    </r>
  </si>
  <si>
    <t>Cada cajero tendrá una clave (Password) confidencial de acceso al sistema informático(Net Bank) para ejecutar sus operaciones, y no puede informar a terceros.</t>
  </si>
  <si>
    <t>Verificar que exponga los horarios de atención para la recepción de cheques ajenos.</t>
  </si>
  <si>
    <t>Realizar el recuento físico de materiales, de acuerdo a una muestra.</t>
  </si>
  <si>
    <r>
      <t xml:space="preserve">Verificar el correcto llenado de libro </t>
    </r>
    <r>
      <rPr>
        <b/>
        <sz val="10"/>
        <rFont val="Tahoma"/>
        <family val="2"/>
      </rPr>
      <t xml:space="preserve">"Control de Entrega y Devolución de Talonarios de Cobranza ", </t>
    </r>
    <r>
      <rPr>
        <sz val="10"/>
        <rFont val="Tahoma"/>
        <family val="2"/>
      </rPr>
      <t>en el cual debe registrar la numeración del talonario entregado y/o devuelto y estar debidamente firmado. 
Únicamente se autoriza la utilización a los siguientes funcionarios:
*Recibo de cobranza: OSF, ON y JA. 
*Recibo de cobranza (contingencias-operaciones): Operativos y Cajeros.</t>
    </r>
  </si>
  <si>
    <t>Verificar los recibos de cobranza emitidos:
1. Llenado con datos claros y correctos.
2. Emitidos por el responsable a cargo del talonario de recibos.
3. Firma de depositante (cliente o terceras personas quien entrega el dinero, en ningún caso esta tercera persona podrá ser un funcionario de la entidad), funcionario receptor (OSF, ON, JA, OA) y revisor (operativo o jefe de agencia). 
4. Entrega del recibo original al cliente, copia de recibo entregar en ventanilla y la segunda copia debe quedar en el talonario.
5. Contar con sello de caja.</t>
  </si>
  <si>
    <t>Verificar que el recinto de bóveda o caja fuerte, se reguarde:
*Certificados de DPF en blanco .
*Tarjetas de débito sin asignación.</t>
  </si>
  <si>
    <r>
      <t>Verificar que se realice la custodia de</t>
    </r>
    <r>
      <rPr>
        <b/>
        <sz val="10"/>
        <color theme="1"/>
        <rFont val="Tahoma"/>
        <family val="2"/>
      </rPr>
      <t xml:space="preserve"> DPF anulados </t>
    </r>
    <r>
      <rPr>
        <sz val="10"/>
        <color theme="1"/>
        <rFont val="Tahoma"/>
        <family val="2"/>
      </rPr>
      <t xml:space="preserve">(original y copia) en un archivador de palanca identificado como DPF anulados. </t>
    </r>
  </si>
  <si>
    <r>
      <t>Verificar que se realice la custodia de</t>
    </r>
    <r>
      <rPr>
        <b/>
        <sz val="10"/>
        <color theme="1"/>
        <rFont val="Tahoma"/>
        <family val="2"/>
      </rPr>
      <t xml:space="preserve"> DPF cancelado</t>
    </r>
    <r>
      <rPr>
        <sz val="10"/>
        <color theme="1"/>
        <rFont val="Tahoma"/>
        <family val="2"/>
      </rPr>
      <t xml:space="preserve"> (original y copia) en un archivador de palanca identificado como DPF cancelado. </t>
    </r>
  </si>
  <si>
    <t>Realizar inventario de Certificados y carpetas de clientes (DPF) de acuerdo a una muestra.
*Verificar que las carpetas de clientes contenga rotulado con el nombre completo de titular (MAYUSCULA) y número de cuenta cliente. (en caso de persona jurídica razón social y código de cliente de la empresa o entidad).
*Verificar que la carpetas de clientes por DPF, se encuentren archivada por :
 Orden alfabético (apellido paterno, seguido del materno y Nombre).
 Resguardo deberá efectuarse en un lugar restringido.</t>
  </si>
  <si>
    <t>Nro.</t>
  </si>
  <si>
    <t>OBSERVACIÓN</t>
  </si>
  <si>
    <t>……...…………….……….…….</t>
  </si>
  <si>
    <t>…………………………………</t>
  </si>
  <si>
    <t>Revisado por:</t>
  </si>
  <si>
    <t>Responsable:</t>
  </si>
  <si>
    <t>REVISIÓN DE CONTROL INTERNO CAPTACIONES</t>
  </si>
  <si>
    <t>REVISIÓN DE CONTROL INTERNO CONTRATOS</t>
  </si>
  <si>
    <t>N°</t>
  </si>
  <si>
    <t>Libro planilla de control de ingreso y salida de bóveda</t>
  </si>
  <si>
    <t>Libro ingreso y salida de documentos de valor de bóveda</t>
  </si>
  <si>
    <t>Libro de correspondencia recibida</t>
  </si>
  <si>
    <t>Libro de correspondencia despachada</t>
  </si>
  <si>
    <t>Libro de control de chequeras</t>
  </si>
  <si>
    <t>Formulario de asignación de vehículos (vehículo y motocicleta)</t>
  </si>
  <si>
    <t>Acta de Entrega de Activos Fijos de todo el personal</t>
  </si>
  <si>
    <t>Libro bitácora de registro de accesos a la sala de comunicaciones</t>
  </si>
  <si>
    <t>Libro ingreso/salida de carpetas legales de bóveda</t>
  </si>
  <si>
    <t>Certificados de DPF en blanco</t>
  </si>
  <si>
    <t>Tarjetas de débito sin asignación</t>
  </si>
  <si>
    <t>Libro de Registro de Depósitos a Plazo Fijo Emitidos</t>
  </si>
  <si>
    <t>Libro de Registro de Depósitos a Plazo Fijo Anulados</t>
  </si>
  <si>
    <t>Libro de Registro de Entrega de tarjetas de Débito</t>
  </si>
  <si>
    <t>Libro de Control por Tarjetas de Débito Retenidas en Cajeros Automáticos</t>
  </si>
  <si>
    <t>Archivador de palanca con la copias de los Certificados de Depósito a Plazo Fijo emitidos</t>
  </si>
  <si>
    <t>Archivador de palanca con los Certificados de Depósito a Plazo Fijo anulados</t>
  </si>
  <si>
    <t>Comprobante de rechazo</t>
  </si>
  <si>
    <t>Libro reporte consumidor financiero frecuente</t>
  </si>
  <si>
    <t xml:space="preserve"> Contratos modelo</t>
  </si>
  <si>
    <t>RESPONSABLE DEL FONDO :</t>
  </si>
  <si>
    <t xml:space="preserve">ARQUEO EFECTUADO POR :  </t>
  </si>
  <si>
    <t xml:space="preserve">CIUDAD: </t>
  </si>
  <si>
    <t>RECUENTO DE EFECTIVO:</t>
  </si>
  <si>
    <t>MONEDAS M/N</t>
  </si>
  <si>
    <t>BILLETES M/N</t>
  </si>
  <si>
    <t>CORTE</t>
  </si>
  <si>
    <t>CANTIDAD</t>
  </si>
  <si>
    <t>TOTAL Bs</t>
  </si>
  <si>
    <t>Bs.</t>
  </si>
  <si>
    <t>…………..</t>
  </si>
  <si>
    <t>TOTAL MONEDAS</t>
  </si>
  <si>
    <t>TOTAL BILLETES</t>
  </si>
  <si>
    <t>MONEDAS M/E</t>
  </si>
  <si>
    <t>BILLETES M/E</t>
  </si>
  <si>
    <t>TOTAL US$</t>
  </si>
  <si>
    <t>US$</t>
  </si>
  <si>
    <t>RECUENTO DE DOCUMENTOS BANCARIOS Y OTROS VALORES:</t>
  </si>
  <si>
    <t>Cheque Nº</t>
  </si>
  <si>
    <t>Banco</t>
  </si>
  <si>
    <t>Importe</t>
  </si>
  <si>
    <t>Moneda</t>
  </si>
  <si>
    <t>Fecha</t>
  </si>
  <si>
    <t>Beneficiario</t>
  </si>
  <si>
    <t>TOTAL DOCUMENTOS Y OTROS US$</t>
  </si>
  <si>
    <t>Bs</t>
  </si>
  <si>
    <t>I</t>
  </si>
  <si>
    <t>TOTAL EFECTIVO</t>
  </si>
  <si>
    <t>BS</t>
  </si>
  <si>
    <t>TOTAL FONDOS SEGÚN ARQUEO</t>
  </si>
  <si>
    <t>TOTAL SEGÚN REPORTE</t>
  </si>
  <si>
    <t>FALTANTES (SOBRANTES)</t>
  </si>
  <si>
    <t>EXPLICACION DEL FALTANTE Y/O  SOBRANTE</t>
  </si>
  <si>
    <t>FIRMA DEL RESPONSABLE</t>
  </si>
  <si>
    <t>ARQUEO EFECTUADO POR:</t>
  </si>
  <si>
    <t>ARQUEO A CAJA CHICA</t>
  </si>
  <si>
    <t>REVISIÓN DE CHEQUERAS</t>
  </si>
  <si>
    <t>BANCO MONEDA NACIONAL</t>
  </si>
  <si>
    <t>CTA. CTE. N°</t>
  </si>
  <si>
    <t>CHEQUES ANULADOS N°:</t>
  </si>
  <si>
    <t>CUADRO ZONAS DE EXCLUSIÓN</t>
  </si>
  <si>
    <t>Zonas</t>
  </si>
  <si>
    <t>Zona pública</t>
  </si>
  <si>
    <t>Zona de acceso restringido</t>
  </si>
  <si>
    <t>Zona de exclusión</t>
  </si>
  <si>
    <t>Control de accesos biométricos</t>
  </si>
  <si>
    <t>Sensores de movimiento</t>
  </si>
  <si>
    <t>Contactos Magnéticos (Puertas)</t>
  </si>
  <si>
    <t>Sensores de Ruptura de Cristal</t>
  </si>
  <si>
    <t>Sensores Sísmicos</t>
  </si>
  <si>
    <t>Detectores de humo</t>
  </si>
  <si>
    <t>Botones de pánico</t>
  </si>
  <si>
    <t>Extintores de Incendio</t>
  </si>
  <si>
    <t>Cámaras de vigilancia</t>
  </si>
  <si>
    <t>Zona Cajas</t>
  </si>
  <si>
    <t>x</t>
  </si>
  <si>
    <t>Zona bóveda</t>
  </si>
  <si>
    <t>Centro de procesamiento de datos/sala sistemas</t>
  </si>
  <si>
    <t>Zona archivo</t>
  </si>
  <si>
    <t>Oficinas / ambientes administrativos</t>
  </si>
  <si>
    <t>Pasillos internos, gradas internas que permiten el ingreso a ambientes administrativos</t>
  </si>
  <si>
    <t>Ingresos PAT (ingresos/salidas)</t>
  </si>
  <si>
    <t>Zona atención cliente</t>
  </si>
  <si>
    <t>RECUENTO DE EFECTIVO EN CAJAS</t>
  </si>
  <si>
    <t>Agencia</t>
  </si>
  <si>
    <t>CAJA 1</t>
  </si>
  <si>
    <t>EFECTIVO EN MUEBLE DE CAJAS</t>
  </si>
  <si>
    <t>TOTAL BS.</t>
  </si>
  <si>
    <t>TOTAL US$.</t>
  </si>
  <si>
    <t>TOTAL EN MUEBLE DE CAJA EN BS.</t>
  </si>
  <si>
    <t>EFECTIVO EN CAJA BUZÓN</t>
  </si>
  <si>
    <t>TOTAL EN BUZÓN DE CAJA EN BS.</t>
  </si>
  <si>
    <t>TOTAL CAJA</t>
  </si>
  <si>
    <t>Responsable de Caja</t>
  </si>
  <si>
    <t>Revisor</t>
  </si>
  <si>
    <t>CAJA 2</t>
  </si>
  <si>
    <t>TOTAL CAJA 1</t>
  </si>
  <si>
    <t>Responsable Caja 1</t>
  </si>
  <si>
    <t>Responsable Caja 2</t>
  </si>
  <si>
    <r>
      <t xml:space="preserve">Verificar que el Operativo de Agencia de forma periódica </t>
    </r>
    <r>
      <rPr>
        <b/>
        <sz val="10"/>
        <rFont val="Tahoma"/>
        <family val="2"/>
      </rPr>
      <t>(Anual)</t>
    </r>
    <r>
      <rPr>
        <sz val="10"/>
        <rFont val="Tahoma"/>
        <family val="2"/>
      </rPr>
      <t xml:space="preserve"> realice el inventario y verificación física de los valores y documentos con valor bajo su resguardo.</t>
    </r>
  </si>
  <si>
    <r>
      <t xml:space="preserve">Punto 1 y 2 del articulo 2º Requisitos que deben cumplir los Chóferes Responsables de la Conducción de los Vehículos, Capitulo Único del Reglamento Interno para Uso de Vehículos, dispone: 
</t>
    </r>
    <r>
      <rPr>
        <i/>
        <sz val="10"/>
        <rFont val="Tahoma"/>
        <family val="2"/>
      </rPr>
      <t>"1) Para la conducción de vehículos de cuatro ruedas los chóferes deben contar con la respectiva licencia de conducir vigente.
2) Para la conducción de Motocicletas, los chóferes deben contar con la licencia vigente y específica para este tipo de vehículos, es obligatorio llevar el casco de protección."</t>
    </r>
  </si>
  <si>
    <r>
      <t>Punto 6 y 7 del articulo 4º Revisión y control de efectivo, Capitulo Único del Reglamento Interno de Arqueos mensuales, dispone:</t>
    </r>
    <r>
      <rPr>
        <i/>
        <sz val="10"/>
        <rFont val="Tahoma"/>
        <family val="2"/>
      </rPr>
      <t xml:space="preserve"> 
"6) El Gerente de Sucursal es el responsable de realizar al menos un arqueo al mes a la Caja Chica asignada como oficina Regional, en cualquier momento de la jornada laboral. Sin embargo puede delegar esta tarea al Jefe u Operativo de Agencia, vía correo electrónico, siempre que la oficina Regional se encuentre ubicada en una agencia o sucursal.
7) El Jefe Nacional de Contabilidad es el responsable de instruir la realización de al menos un arqueo al mes a las cajas chicas asignada en Oficina Nacional, durante la jornada laboral."</t>
    </r>
  </si>
  <si>
    <t>-</t>
  </si>
  <si>
    <t>Verificar que el Jefe de Agencia realiza pruebas periódicas del sistema de alarmas. Ver detalle en la hoja de control.</t>
  </si>
  <si>
    <r>
      <t xml:space="preserve">*Numeral 4), del articulo 4º, (Control y archivo de certificados de DPF anulados), Capitulo IV del Reglamento Interno de Deposito a Plazo Fijo, dispone: </t>
    </r>
    <r>
      <rPr>
        <i/>
        <sz val="10"/>
        <color theme="1"/>
        <rFont val="Tahoma"/>
        <family val="2"/>
      </rPr>
      <t>Los DPF anulados deben ser custodiados en un archivador palanca.</t>
    </r>
    <r>
      <rPr>
        <sz val="10"/>
        <color theme="1"/>
        <rFont val="Tahoma"/>
        <family val="2"/>
      </rPr>
      <t xml:space="preserve">
</t>
    </r>
    <r>
      <rPr>
        <b/>
        <sz val="10"/>
        <color theme="1"/>
        <rFont val="Tahoma"/>
        <family val="2"/>
      </rPr>
      <t>*Numeral 5, del punto 4.14 Reimpresión por fallas de impresión, de procedimiento para Deposito a Plazo Fijo, indica:</t>
    </r>
    <r>
      <rPr>
        <b/>
        <i/>
        <sz val="10"/>
        <color theme="1"/>
        <rFont val="Tahoma"/>
        <family val="2"/>
      </rPr>
      <t xml:space="preserve"> "Archiva el original y la copia del DPF en un archivador de palanca identificado como DPF anulado."</t>
    </r>
  </si>
  <si>
    <r>
      <t>Articulo 3º (Control y Archivo de certificados de DPF emitidos), Capitulo IV del Reglamento Interno de Deposito a Plazo Fijo, dispone:</t>
    </r>
    <r>
      <rPr>
        <i/>
        <sz val="10"/>
        <rFont val="Tahoma"/>
        <family val="2"/>
      </rPr>
      <t xml:space="preserve"> "Se debe llevar un registro cronológico y correlativo de los DPF emitidos, se debe registrar en el “Libro de Registro de Depósito a Plazo Fijo Emitido”, detallando las características en cuanto a monto, moneda, plazo de vencimiento, tasa de interés, numeración preimpresa, numeración automática asignada por el sistema y cualquier otra información de interés. Las copias de los certificados de DPF emitidos deben ser resguardadas en ambientes de bóveda, en orden cronológico y archivador de palanca, hasta su liquidación."</t>
    </r>
  </si>
  <si>
    <r>
      <rPr>
        <sz val="10"/>
        <color rgb="FFFF0000"/>
        <rFont val="Tahoma"/>
        <family val="2"/>
      </rPr>
      <t xml:space="preserve">
</t>
    </r>
    <r>
      <rPr>
        <sz val="10"/>
        <rFont val="Tahoma"/>
        <family val="2"/>
      </rPr>
      <t xml:space="preserve">*Numeral 4), articulo 23º (anulación de DPF por error u omisión) Titulo I, del Reglamento Interno de Depósitos a Plazo Fijo, señala: </t>
    </r>
    <r>
      <rPr>
        <i/>
        <sz val="10"/>
        <rFont val="Tahoma"/>
        <family val="2"/>
      </rPr>
      <t>"El Operativo de Agencia debe registrar en libro de control operativo creado para el efecto, los DPF´s anulados."</t>
    </r>
    <r>
      <rPr>
        <sz val="10"/>
        <rFont val="Tahoma"/>
        <family val="2"/>
      </rPr>
      <t xml:space="preserve">
*Numeral 3), articulo 4º Capitulo IV del Reglamento Interno de Deposito a Plazo Fijo, señala: </t>
    </r>
    <r>
      <rPr>
        <i/>
        <sz val="10"/>
        <rFont val="Tahoma"/>
        <family val="2"/>
      </rPr>
      <t>"Los DPF anulados deben ser registrados en el “Libro de Registro de Depósitos a Plazo Fijo Anulados”"</t>
    </r>
    <r>
      <rPr>
        <sz val="10"/>
        <rFont val="Tahoma"/>
        <family val="2"/>
      </rPr>
      <t xml:space="preserve">
*Numeral 4, del punto 4.14 Reimpresión por fallas de impresión, de procedimiento para Deposito a Plazo Fijo, indica: </t>
    </r>
    <r>
      <rPr>
        <i/>
        <sz val="10"/>
        <rFont val="Tahoma"/>
        <family val="2"/>
      </rPr>
      <t>"Registra en el “Libro de Registro de DPF Anulados” Anexo 10 los motivos de anulación de DPF."</t>
    </r>
  </si>
  <si>
    <t xml:space="preserve">Revisar en la pizarra el Tarifario de las tasa de interés pasivas.
*El Operativo de Agencia o Asistente de Operativo de Agencia permanentemente debe verificar que tarifario publicado en agencia sea el vigente. </t>
  </si>
  <si>
    <r>
      <t xml:space="preserve">Punto 5 y 6 del articulo 26º Armado de Carpetas, Capitulo I del Reglamento Interno de Cajas de ahorro, dispone: </t>
    </r>
    <r>
      <rPr>
        <i/>
        <sz val="10"/>
        <color theme="1"/>
        <rFont val="Tahoma"/>
        <family val="2"/>
      </rPr>
      <t>"5) Las carpetas de clientes de cuentas de Caja de Ahorro deben ser ordenadas de forma alfabética, por apellido paterno, seguido del materno y nombre.
6) Las carpetas de clientes de cuentas de Caja de Ahorro serán resguardadas en un lugar restringido, bajo la responsabilidad directa del Operativo de Agencia."</t>
    </r>
  </si>
  <si>
    <r>
      <t xml:space="preserve">Articulo 2° (Bloqueo de la tarje de Débito retenidas en ATM ajeno) Capitulo III, del Reglamento Interno Tarjetas de Débito, señala: Si fuera el caso de retención de tarjetas de débito en ATM ajeno, y la Entidad Financiera propietaria realice la devolución a CIDRE – IFD, el operativo de agencia deberá recibir las tarjetas de débito (plástico) para posteriormente registrar en el </t>
    </r>
    <r>
      <rPr>
        <b/>
        <sz val="10"/>
        <color theme="1"/>
        <rFont val="Tahoma"/>
        <family val="2"/>
      </rPr>
      <t>“Libro de Control por Tarjetas de Débito Retenidas en Cajeros Automáticos”</t>
    </r>
    <r>
      <rPr>
        <sz val="10"/>
        <color theme="1"/>
        <rFont val="Tahoma"/>
        <family val="2"/>
      </rPr>
      <t xml:space="preserve"> (Anexo 2) e informará al Analista de Captaciones, instancia que por temas de seguridad, procederá con el cambio de estado a bloqueado temporal en caso de encontrarse con estado habilitada.</t>
    </r>
  </si>
  <si>
    <r>
      <t xml:space="preserve">Punto 1 del articulo 7º Señalización del Punto de Reclamo, Capitulo I del Reglamento Interno para de Punto de Reclamo, dispone: </t>
    </r>
    <r>
      <rPr>
        <i/>
        <sz val="10"/>
        <rFont val="Tahoma"/>
        <family val="2"/>
      </rPr>
      <t xml:space="preserve">"En el área de trabajo del responsable de la </t>
    </r>
    <r>
      <rPr>
        <b/>
        <i/>
        <sz val="10"/>
        <rFont val="Tahoma"/>
        <family val="2"/>
      </rPr>
      <t>Recepción del Reclamo</t>
    </r>
    <r>
      <rPr>
        <i/>
        <sz val="10"/>
        <rFont val="Tahoma"/>
        <family val="2"/>
      </rPr>
      <t xml:space="preserve"> en agencias y otras oficinas, se debe exponer la señalética de identificación de "PUNTO DE RECLAMO", con el logotipo definido según diseño, colores y otras características establecidas por normativa externa (RNSF, Libro 4, Titulo I, Capítulo, Anexo 3)."</t>
    </r>
  </si>
  <si>
    <t>Verificar que el Encargado del Punto de Reclamo (recepción y gestión), deben contar con su credencial "encargado del Punto de Reclamo"
*Responsable de gestión de reclamos: Gerente de Sucursal, Jefe de Unidad y Jefe de Agencia.
*Responsable de recepción de reclamos: Operativo de Agencia (Asistente Operativo de Agencia o Jefe de Agencia en caso de ausencia del Operativo de Agencia).</t>
  </si>
  <si>
    <r>
      <t xml:space="preserve">Artículo 6° Disposición de Información, Sección 2, Capítulo VII, Titulo V, Libro 2° de la RNSF de ASFI, dispone: </t>
    </r>
    <r>
      <rPr>
        <i/>
        <sz val="10"/>
        <color theme="1"/>
        <rFont val="Tahoma"/>
        <family val="2"/>
      </rPr>
      <t xml:space="preserve">"Las entidades financieras deben mantener a disposición de los clientes financieros, todos los contratos modelo para permitir su lectura previa, conjuntamente a la información sobre los respectivos productos o servicios ofrecidos." </t>
    </r>
  </si>
  <si>
    <t>Articulo 3º De la Guía de Libros de Control Operativo, Capitulo Único del Reglamento de Libros de Control Operativo, dispone: "La Gerencia Nacional de Operaciones y Finanzas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</si>
  <si>
    <t>Punto 5), articulo 20º (Armado de carpetas de DPF), del Capitulo I, del Reglamento Interno de Depósitos a Plazo Fijo, señala: "5) La carpeta debe contener un “rotulado” con el nombre completo del titular (MAYÚSCULA) y el número de cuenta cliente, información pegada en la carpeta tomando la precaución de que a futuro no se desprenda, fijándola en la parte sobresaliente de la carpeta (folder amarillo). Para el caso de Persona Jurídica, se debe registrar la razón social y código de cliente de la empresa o entidad."
articulo 22º (Archivo de carpetas de cliente), del Capitulo I, del Reglamento Interno de Depósitos a Plazo Fijo, señala: 
"1) Las carpetas de clientes de Cuentas de DPF deben ser ordenadas de forma alfabética, por apellido paterno, seguido del materno y nombre.
2) Las carpetas de clientes de cuentas de DPF serán resguardadas en un lugar restringido."</t>
  </si>
  <si>
    <t>Numeral 5), del Punto 4.16 Establecimiento de las tasas de interés (Tarifario) del Procedimientos para  Depósitos a Plazo Fijo, dispone: El Operativo de Agencia o Asistente Operativo de Agencia "En coordinación con el Analista Nacional de Operaciones, pública el tarifario en pizarra y verifica de forma peranente su vigencia."</t>
  </si>
  <si>
    <t>Punto 18 del artículo 2º Custodia de valores, Capitulo III del Reglamento Interno de custodia de Valores Bóveda y Cajas, dispone: "Las Tarjetas de Débito emitidos y entregados a clientes deben ser registrados por el Operativo de Agencia o Sucursal en el Libro de Registro de Entrega de Tarjetas de Débito."
Articulo 2º, Capitulo VI (control de las tarjetas de debito), del Reglamento interno tarjetas de debito, señala : "Todas las tarjetas de débito recibidas en agencia deben se registradas en el “Libro de Registro de Recepción y Entrega de Tarjetas de Débito” (Anexo 1), así como las entregadas a los clientes.</t>
  </si>
  <si>
    <r>
      <t>Articulo 9º Comprobante de rechazo, Capitulo I del Reglamento Interno de Gestión de Material Monetario, que dispone:</t>
    </r>
    <r>
      <rPr>
        <i/>
        <sz val="10"/>
        <rFont val="Tahoma"/>
        <family val="2"/>
      </rPr>
      <t xml:space="preserve"> "En los casos que la Sucursal o Agencia se vea imposibilitada de realizar el servicio de canje y/o fraccionamiento, el cajero derivará al cliente o usuario con el Operativo de Agencia, a objeto de brindar la información correspondiente y entregarle el formulario Comprobante de Rechazo (Anexo 1), que identifica las causales del rechazo."</t>
    </r>
    <r>
      <rPr>
        <sz val="10"/>
        <rFont val="Tahoma"/>
        <family val="2"/>
      </rPr>
      <t xml:space="preserve">
Articulo 3º De la Guía de Libros de Control Operativo, Capitulo Único del Reglamento de Libros de Control Operativo, dispone: "La Gerencia Nacional de Operaciones y Finanzas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r>
  </si>
  <si>
    <r>
      <t>Articulo 11º Canje o Fraccionamiento al consumidor financiero frecuente, Capitulo I del Reglamento Interno de Gestión de Material Monetario, que dispone:</t>
    </r>
    <r>
      <rPr>
        <i/>
        <sz val="10"/>
        <rFont val="Tahoma"/>
        <family val="2"/>
      </rPr>
      <t xml:space="preserve"> "En los casos que existan clientes o usuarios que requieran canje o fraccionamiento de forma reiterada en un mismo día, el Cajero deberá comunicar al Operativo de Agencia a objeto que lo registre en el formulario Reporte Consumidor Financiero Frecuente (Anexo 2), para su seguimiento, identificación del tipo de cliente o usuario y/o rechazo del servicio si corresponde."</t>
    </r>
    <r>
      <rPr>
        <sz val="10"/>
        <rFont val="Tahoma"/>
        <family val="2"/>
      </rPr>
      <t xml:space="preserve">
Articulo 3º De la Guía de Libros de Control Operativo, Capitulo Único del Reglamento de Libros de Control Operativo, dispone: "La Gerencia Nacional de Operaciones y Finanzas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r>
  </si>
  <si>
    <t>Verificar que el Jefe de Agencia realice mínimamente 2 arqueos a bóveda o caja fuerte y caja chica cada mes.
*En caso de que el operativo de agencia ejerza funciones de cajero el jefe de agencia debe realizar arqueos a esa caja.
*Arqueos realizados deberá ser archivado por el operativo de agencia.</t>
  </si>
  <si>
    <t>Artículo 6° (Publicación de bienes adjudicados para la venta), Sección 2, Capítulo V, Titulo I, Libro 2° de la RNSF de ASFI, dispone: De manera adicional a las acciones que la entidad supervisada determine para la venta de los bienes adjudicados, ésta debe publicar en todas las agencias fijas, puntos promocionales fijos y oficinas externas y sitios web, información actualizada referida a los bienes adjudicados que mantiene disponibles para la venta, considerando los lineamientos dispuestos en el Reglamento de Publicidad, Promoción y Material Informativo, contenido en el Capítulo IV, Título I, Libro 5° de la RNSF.
La publicación debe ser visible, disponible al público e indicar como mínimo la siguiente información con relación al bien adjudicado sujeto a venta:
a. Descripción e imagen del bien adjudicado;
b. Ubicación del bien adjudicado;
c. Precio base de referencia;
d. Condiciones de financiamiento, si lo hubiere;
e. Responsable con quien se pueda obtener información adicional;
f. Cualquier otra información que la entidad considere pertinente.</t>
  </si>
  <si>
    <r>
      <t>Articulo 6º Responsabilidades para el Punto de Reclamo, Capitulo I del Reglamento Interno para Punto de Reclamo, dispone: 
1)</t>
    </r>
    <r>
      <rPr>
        <i/>
        <sz val="10"/>
        <rFont val="Tahoma"/>
        <family val="2"/>
      </rPr>
      <t xml:space="preserve">"La Entidad define las responsabilidades sobre la atención de reclamos de acuerdo a los siguientes perfiles (Anexo 1):
a) </t>
    </r>
    <r>
      <rPr>
        <b/>
        <i/>
        <sz val="10"/>
        <rFont val="Tahoma"/>
        <family val="2"/>
      </rPr>
      <t>Administrador del Punto de Reclamos.-</t>
    </r>
    <r>
      <rPr>
        <i/>
        <sz val="10"/>
        <rFont val="Tahoma"/>
        <family val="2"/>
      </rPr>
      <t xml:space="preserve"> Efectúa el control y monitoreo a los procesos operativos correspondiente al PR a nivel nacional. En el sistema, cuenta con la facultad de habilitar nuevos usuarios y autorizar los accesos permitidos por usuarios.
b) </t>
    </r>
    <r>
      <rPr>
        <b/>
        <i/>
        <sz val="10"/>
        <rFont val="Tahoma"/>
        <family val="2"/>
      </rPr>
      <t>Responsable del Punto de Reclamos.-</t>
    </r>
    <r>
      <rPr>
        <i/>
        <sz val="10"/>
        <rFont val="Tahoma"/>
        <family val="2"/>
      </rPr>
      <t xml:space="preserve"> Centraliza los reclamos ingresados en los puntos de atención financiera de la Entidad, a través del sitio web de la entidad y en la línea de atencion gratuita de reclamos, y asigna los reclamos a los responsables de Gestión de Reclamos en cada agencia y  oficina. En el sistema, está facultado para realizar el seguimiento, asignación y cierre de un reclamo.
</t>
    </r>
    <r>
      <rPr>
        <b/>
        <i/>
        <sz val="10"/>
        <rFont val="Tahoma"/>
        <family val="2"/>
      </rPr>
      <t>c) Responsable de Gestión de Reclamos.</t>
    </r>
    <r>
      <rPr>
        <i/>
        <sz val="10"/>
        <rFont val="Tahoma"/>
        <family val="2"/>
      </rPr>
      <t xml:space="preserve">- Personal que por cargo y/o conocimiento se encarga de solucionar el reclamo. En el sistema, realiza el seguimiento y cierre de un reclamo. Realiza las gestiones de entrega de la respuesta al reclamo.
</t>
    </r>
    <r>
      <rPr>
        <b/>
        <i/>
        <sz val="10"/>
        <rFont val="Tahoma"/>
        <family val="2"/>
      </rPr>
      <t xml:space="preserve">d) Responsable de Recepción de Reclamos.- </t>
    </r>
    <r>
      <rPr>
        <i/>
        <sz val="10"/>
        <rFont val="Tahoma"/>
        <family val="2"/>
      </rPr>
      <t xml:space="preserve">Personal encargado de recibir el reclamo del consumidor financiero y de registrarlo (Encargado del Punto de Reclamo). En el sistema, está facultado para registrar, revisar y consultar el estado de reclamo. También procede con la entrega de la respuesta al reclamo cuando el consumidor financiero visita las oficinas, solicitando su carta de respuesta.
</t>
    </r>
    <r>
      <rPr>
        <b/>
        <i/>
        <sz val="10"/>
        <rFont val="Tahoma"/>
        <family val="2"/>
      </rPr>
      <t xml:space="preserve">e) Operador.- </t>
    </r>
    <r>
      <rPr>
        <i/>
        <sz val="10"/>
        <rFont val="Tahoma"/>
        <family val="2"/>
      </rPr>
      <t xml:space="preserve">Personal que se encarga de recibir el reclamo del consumidor financiero mediante la línea de atención gratuita y derivar al Responsable del Punto de Reclamo."
Punto 1 del articulo 8º Credencial, Capitulo I del Reglamento Interno para de Punto de Reclamo, dispone:
</t>
    </r>
    <r>
      <rPr>
        <sz val="10"/>
        <rFont val="Tahoma"/>
        <family val="2"/>
      </rPr>
      <t>"1)	Los responsables de la Recepción de los reclamos deben contar con las respectivas credenciales que permitan identificar su nombre, cargo en el que se desempeñan y la denominación de “Encargado del Punto de Reclamo”, de acuerdo al diseño, colores y formato que se establezca."</t>
    </r>
  </si>
  <si>
    <t>PROGRAMA DE AUDITORIA 
(CONTROL INTERNO BIENES ADJUDICADOS)</t>
  </si>
  <si>
    <t>Boletin Informativo de fecha 08/07/2015 No OP-001/15</t>
  </si>
  <si>
    <t>Caja 1</t>
  </si>
  <si>
    <t>Caja 2</t>
  </si>
  <si>
    <t>ARQUEO A BÓVEDA</t>
  </si>
  <si>
    <t xml:space="preserve">Hrs. Inicio:          </t>
  </si>
  <si>
    <t xml:space="preserve">Hrs. Final:  </t>
  </si>
  <si>
    <t>Fecha:</t>
  </si>
  <si>
    <t>ARQUEO A VENTANILLA DE COBRANZAS</t>
  </si>
  <si>
    <t>ARQUEO A (FONDOS A RENDIR)</t>
  </si>
  <si>
    <t>Formularios de registro cajeros</t>
  </si>
  <si>
    <r>
      <t xml:space="preserve">Verificar que la agencia cuente con </t>
    </r>
    <r>
      <rPr>
        <b/>
        <sz val="10"/>
        <color theme="1"/>
        <rFont val="Tahoma"/>
        <family val="2"/>
      </rPr>
      <t>luces de emergencia</t>
    </r>
    <r>
      <rPr>
        <sz val="10"/>
        <color theme="1"/>
        <rFont val="Tahoma"/>
        <family val="2"/>
      </rPr>
      <t xml:space="preserve"> portátiles para situaciones de corte intempestivo de energía eléctrica y que el operativos de agencia realice las pruebas a su funcionamiento una vez al mes.
*En caso de presentar fallas, la información debe ser enviada al Analista de Seguridad Física con copia a la </t>
    </r>
    <r>
      <rPr>
        <b/>
        <sz val="10"/>
        <color theme="1"/>
        <rFont val="Tahoma"/>
        <family val="2"/>
      </rPr>
      <t>Gerencia Nacional Financiera, Administrativa y de Servicios Informáticos.</t>
    </r>
  </si>
  <si>
    <r>
      <t xml:space="preserve">Verificar que la agencia cuente con un </t>
    </r>
    <r>
      <rPr>
        <b/>
        <sz val="10"/>
        <rFont val="Tahoma"/>
        <family val="2"/>
      </rPr>
      <t>botiquín de primeros auxilios</t>
    </r>
    <r>
      <rPr>
        <sz val="10"/>
        <rFont val="Tahoma"/>
        <family val="2"/>
      </rPr>
      <t>, el mismo debe estar ubicado en un lugar visible y que incluya los teléfonos de urgencia de la zona. (los insumos del botiquín deben ser revisados de manera periódica verificando los vencimientos y renovación).
El botiquín deberá contener como mínimo lo siguiente:
* Agua oxigenada.
* Solución antiséptica (mercurio o similar).
* Alcohol.
* Ungüento para quemaduras.
* Tabletas para dolor (aspirina, etc.).
* Gasa en sobres.
* Adhesivos.
* Venda elástica.
* Tijera pequeña recta."</t>
    </r>
  </si>
  <si>
    <t>SEGURIDAD FÍSICA</t>
  </si>
  <si>
    <t>Formulario de transferencia y entrega de documentos de valor</t>
  </si>
  <si>
    <t>CANJE Y FRACCIONAMIENTO DE MATERIAL MONETARIO</t>
  </si>
  <si>
    <t>CAPTACIONES</t>
  </si>
  <si>
    <t>CONTRATOS</t>
  </si>
  <si>
    <t>Verificar las publicaciones de los bienes adjudicados para la venta  en todas las agencias fijas, puntos promocionales fijas y oficinas externas, la publicación debe ser visible e indicar como mínimo la siguiente información con relación al bien adjudicado sujeto a venta:
a. Descripción e imagen del bien adjudicado;
b. Ubicación del bien adjudicado;
c. Precio base de referencia;
d. Condiciones de financiamiento, si lo hubiere;
e. Responsable con quien se pueda obtener información adicional;
f. Cualquier otra información que la entidad considere pertinente.</t>
  </si>
  <si>
    <t>REVISIÓN DE CONTROL INTERNO BIENES ADJUDICADOS</t>
  </si>
  <si>
    <t>REVISIÓN DE CONTROL PUNTO DE RECLAMO</t>
  </si>
  <si>
    <t>REVISIÓN DE CANJE Y FRACCIONAMIENTO</t>
  </si>
  <si>
    <t>NO (REF. P/T)</t>
  </si>
  <si>
    <r>
      <t>Verificar que el Operativo de Agencia realiza el registro de cada recibo en la "</t>
    </r>
    <r>
      <rPr>
        <b/>
        <sz val="10"/>
        <rFont val="Tahoma"/>
        <family val="2"/>
      </rPr>
      <t>Hoja de control de recibo de cobranza"</t>
    </r>
    <r>
      <rPr>
        <sz val="10"/>
        <rFont val="Tahoma"/>
        <family val="2"/>
      </rPr>
      <t>, acción que respaldara el control semanal de los talonarios de recibo.(maximo una semana)</t>
    </r>
  </si>
  <si>
    <t>Revisar recibos de cobranza emitidos en campo. En caso de contar con observación obtener fotocopias o fotografías legibles.(observar en caso de que no se hayan efectuado el deposito en cajas a primera hora del dia siguiente/observar cuando el dinero cobrado sea aplicado a acreedores varios)</t>
  </si>
  <si>
    <r>
      <t xml:space="preserve">Verificar el correcto registro de los Depósito a Plazo Fijo emitidos en el </t>
    </r>
    <r>
      <rPr>
        <b/>
        <sz val="10"/>
        <color theme="1"/>
        <rFont val="Tahoma"/>
        <family val="2"/>
      </rPr>
      <t>"Libro de Registro de Depósitos a Plazo Fijo Emitidos"</t>
    </r>
    <r>
      <rPr>
        <sz val="10"/>
        <color theme="1"/>
        <rFont val="Tahoma"/>
        <family val="2"/>
      </rPr>
      <t>.
*Todo DPF reportado como extraviado y/o repuesto deben registrarse en el “Libro de DPF emitidos” y “Libro de DPF anulados”.
*Cotejar con las copias de certificados de DPFs emitidos.</t>
    </r>
  </si>
  <si>
    <r>
      <t xml:space="preserve">Verificar el correcto registro de los Depósito a Plazo Fijo anulados en el </t>
    </r>
    <r>
      <rPr>
        <b/>
        <sz val="10"/>
        <color theme="1"/>
        <rFont val="Tahoma"/>
        <family val="2"/>
      </rPr>
      <t>"Libro de Registro de Depósitos a Plazo Fijo Anulados".</t>
    </r>
    <r>
      <rPr>
        <sz val="10"/>
        <color theme="1"/>
        <rFont val="Tahoma"/>
        <family val="2"/>
      </rPr>
      <t xml:space="preserve">
*Todo DPF reportado como</t>
    </r>
    <r>
      <rPr>
        <b/>
        <sz val="10"/>
        <color theme="1"/>
        <rFont val="Tahoma"/>
        <family val="2"/>
      </rPr>
      <t xml:space="preserve"> extraviado y/o repuesto </t>
    </r>
    <r>
      <rPr>
        <sz val="10"/>
        <color theme="1"/>
        <rFont val="Tahoma"/>
        <family val="2"/>
      </rPr>
      <t>deben registrarse en el “Libro de DPF emitidos” y “Libro de DPF anulados”.
*Cotejar con los certificados de DPFs anulados.</t>
    </r>
  </si>
  <si>
    <t>DEPARTAMENTO</t>
  </si>
  <si>
    <t>NOMBRE PUNTO DE ATENCIÓN FINANCIERA</t>
  </si>
  <si>
    <t>EFECTIVO EN USD  (O EL EQUIVALENTE EN MONEDA NACIONAL AL TIPO DE CAMBIO DE COMPRA VIGENTE).</t>
  </si>
  <si>
    <t>En Bs.</t>
  </si>
  <si>
    <t>COCHABAMBA</t>
  </si>
  <si>
    <t>CHIMBA</t>
  </si>
  <si>
    <t>MUYURINA</t>
  </si>
  <si>
    <t>QUILLACOLLO</t>
  </si>
  <si>
    <t>COLOMI</t>
  </si>
  <si>
    <t>TIRAQUE</t>
  </si>
  <si>
    <t>MIZQUE</t>
  </si>
  <si>
    <t>CHIMORE</t>
  </si>
  <si>
    <t>ENTRE RIOS</t>
  </si>
  <si>
    <t>IVIRGARZAMA</t>
  </si>
  <si>
    <t>CHUQUISACA</t>
  </si>
  <si>
    <t>SUCRE</t>
  </si>
  <si>
    <t>MONTEAGUDO</t>
  </si>
  <si>
    <t>TARIJA</t>
  </si>
  <si>
    <t>TARIJA SUR</t>
  </si>
  <si>
    <t>LA PAZ</t>
  </si>
  <si>
    <t>EL ALTO</t>
  </si>
  <si>
    <t>PATACAMAYA</t>
  </si>
  <si>
    <t>ORURO</t>
  </si>
  <si>
    <t>CHALLAPATA</t>
  </si>
  <si>
    <t>POTOSI</t>
  </si>
  <si>
    <t>SANTA CRUZ</t>
  </si>
  <si>
    <t>PLAN 3000</t>
  </si>
  <si>
    <t>MONTERO</t>
  </si>
  <si>
    <t>VALLEGRANDE</t>
  </si>
  <si>
    <t>SAN JULIAN</t>
  </si>
  <si>
    <t>SAN IGNACIO DE VELASCO</t>
  </si>
  <si>
    <t>SATELITE NORTE</t>
  </si>
  <si>
    <t>YAPACANI</t>
  </si>
  <si>
    <t>BENI</t>
  </si>
  <si>
    <t>RIBERALTA</t>
  </si>
  <si>
    <t>PANDO</t>
  </si>
  <si>
    <t>COBIJA</t>
  </si>
  <si>
    <t>RESPONSABLE DESIGNADO</t>
  </si>
  <si>
    <t>PLAZO PROPUESTO</t>
  </si>
  <si>
    <t>COMENTARIOS DEL (LOS) RESPONSABLE(S) Y LAS MEDIDAS
CORRECTIVAS A SER ASUMIDAS</t>
  </si>
  <si>
    <t>CONTROL OPERATIVO EN CAJAS FUERTES Y VENTANILLA DE ATENCIÓN</t>
  </si>
  <si>
    <t>Verificar que cada cajero cuente con caja auxiliar portátil (maletín con candado)para resguardo de efectivo con el cual se quede al cierre de la jornada de trabajo, la cual debe ser resguardada en el ambiente de bóveda o caja fuerte de agencia, previo recuento de efectivo por parte del Operativo de Agencia en presencia del cajero.</t>
  </si>
  <si>
    <r>
      <t xml:space="preserve">Numeral 5) del articulo 1 funciones y menjo de caja fuerte y ventanilla de atención, capitulo I, del Reglamento Interno de Custodia de Valores Bóveda y Cajas, dispone:
</t>
    </r>
    <r>
      <rPr>
        <i/>
        <sz val="10"/>
        <rFont val="Tahoma"/>
        <family val="2"/>
      </rPr>
      <t>5)Cada cajero contará con una caja auxiliar portátil (maletín con candado) para el resguardo del efectivo con el que se quede al cierre de la jornada de trabajo, caja auxiliar que debe ser resguardada en el ambiente de bóveda o caja fuerte de agencia, previo recuento del efectivo por parte del Operativo de Agencia en presencia del Cajero.</t>
    </r>
  </si>
  <si>
    <t xml:space="preserve">Punto 9 y 10 del articulo 1º funciones y manejo de caja fuerte y ventanilla de atención, Capitulo I del Reglamento Interno de Custodia de Valores Bóveda y Cajas, dispone:
9) No está permitido, en ninguna circunstancia, el mantener vales como efectivo.
10) No está permitido dejar efectivo o documentos en los compartimientos de las ventanillas de caja al finalizar la jornada de trabajo.
</t>
  </si>
  <si>
    <r>
      <t xml:space="preserve">Numeral 1)  y 2) del articulo 1, capitulo I, del Reglamento Interno de Custodia de Valores Bóveda y Cajas, dispone:
</t>
    </r>
    <r>
      <rPr>
        <i/>
        <sz val="10"/>
        <rFont val="Tahoma"/>
        <family val="2"/>
      </rPr>
      <t xml:space="preserve">1) Los siguientes cargos serán responsables del manejo de las claves y llaves de las puertas de caja fuerte en las Sucursales y Agencias:
a) Clave: Operativo de Agencia (en su ausencia el Asistente Operativo de Agencia o Jefe de Agencia)
b) Llave: Cajero (en su ausencia el Asistente Operativo de Agencia).
c) En cajas fuertes que tengan dos (2) perillas con clave, una de las claves la administra el Operativo de Agencia y la segunda clave el Cajero con turno. 
2) En ningún caso, un solo funcionario podrá hacer uso conjunto de la llave y clave o dos claves de la caja fuerte del PAF, todo retiro o ingreso de efectivo a Caja Fuerte debe cumplir con el control dual. </t>
    </r>
  </si>
  <si>
    <t xml:space="preserve">Verificar el control dual en la apertura y cierre de bóveda/cajas fuertes:
Clave: operativo de Agencia (En su ausencia el asistente operativo de agencia o jefe de agencia)
Llave: Cajero (En su ausencia el asistente operativo de agencia)
En cajas fuertes que tengan dos (2) perillas con clave, una de las claves la administra el Operativo de Agencia y la segunda clave el Cajero con turno. 
En ningun caso, un solo funcionario podra hacer uso conjunto de llave y clave o dos claves de la caja fuerte del PAF
</t>
  </si>
  <si>
    <t>Verificar que el recinto de bóveda y/o caja fuerte, se utilizará para custodia y atesoramiento de material monetari, valores y documentación con valor legal(carpetas legales de creditos, certificados de depositos a pazo fijo en blancos, tarjetas de debitos sin asignación y documentos propios de la entidad, correspondiente a oficina nacional o sucursales)
No debe realizarse la custodia de carpetas operativas, material de escritorio, activos fijos, combustibles u otros.</t>
  </si>
  <si>
    <r>
      <t xml:space="preserve">Numeral 6) del articulo 1 funciones y manejo de caja fuerte y ventanilla de atención, capitulo I, del Reglamento Interno de Custodia de Valores Bóveda y Cajas, dispone:
</t>
    </r>
    <r>
      <rPr>
        <i/>
        <sz val="10"/>
        <rFont val="Tahoma"/>
        <family val="2"/>
      </rPr>
      <t xml:space="preserve">6) Cada cajero tendrá una clave (Password) confidencial de acceso al sistema informático para ejecutar sus operaciones. Esta clave es de su entera responsabilidad y no puede informarla a terceros. </t>
    </r>
  </si>
  <si>
    <r>
      <t xml:space="preserve">Numeral 8) del articulo 1 funciones y manejo de caja fuerte y ventanilla de atención, capitulo I, del Reglamento Interno de Custodia de Valores Bóveda y Cajas, dispone:
</t>
    </r>
    <r>
      <rPr>
        <i/>
        <sz val="10"/>
        <rFont val="Tahoma"/>
        <family val="2"/>
      </rPr>
      <t>8) El personal de cajas debe sellar y rubricar todas las boletas que respaldan las operaciones y transacciones que procesa en su caja.</t>
    </r>
  </si>
  <si>
    <r>
      <t xml:space="preserve">Numeral 3) del articulo 1 funciones y manejo de caja fuerte y ventanilla de atención, capitulo I, del Reglamento Interno de Custodia de Valores Bóveda y Cajas, dispone:
</t>
    </r>
    <r>
      <rPr>
        <i/>
        <sz val="10"/>
        <rFont val="Tahoma"/>
        <family val="2"/>
      </rPr>
      <t>3) El recinto de bóveda y/o caja fuerte, según corresponda, será utilizado para la custodia y atesoramiento de material monetario, valores y documentación con valor legal, tales como carpetas legales de créditos, certificados de depósitos a plazo fijo en blanco, tarjetas de débitos sin agnación y documentos propios de la Entidad, correspondiente a Oficina Nacional o Sucursales. No debiendo resguardarse carpetas operativas, material de escritorio, activos fijos, combustibles u otros que no cumplan con estas características.</t>
    </r>
  </si>
  <si>
    <t xml:space="preserve"> LÍMITES DE EFECTIVO Y REMESAS</t>
  </si>
  <si>
    <r>
      <t>Punto 1 del articulo 1º Límites para el manejo de efectivo, Capitulo II del Reglamento Interno de custodia de Valores, Bóveda y Cajas, dispone:</t>
    </r>
    <r>
      <rPr>
        <i/>
        <sz val="10"/>
        <rFont val="Tahoma"/>
        <family val="2"/>
      </rPr>
      <t xml:space="preserve"> "1) El detalle de los límites máximos de efectivo que puede permanecer a la finalización de una jornada de trabajo, en los recintos de bóveda y/o cajas fuertes de cada agencia, se encuentra bajo la responsabilidad de la Subgerencia Nacional de Operaciones y Captaciones, documentos debidamente actualizado y resguardado de forma física."</t>
    </r>
  </si>
  <si>
    <r>
      <t>Punto 2 del articulo 1º Límites para el manejo de efectivo, Capitulo II del Reglamento Interno de custodia de Valores, Bóveda y Cajas, dispone:</t>
    </r>
    <r>
      <rPr>
        <i/>
        <sz val="10"/>
        <rFont val="Tahoma"/>
        <family val="2"/>
      </rPr>
      <t xml:space="preserve"> "2) El límite máximo de efectivo que puede mantenerse en cada caja durante el horario de atención al público es de Bs 100.000.- (Cien mil 00/100 bolivianos) en moneda nacional y/o extranjera al tipo de cambio de compra vigente, solo y exclusivamente para efectos de realizar desembolso de créditos hasta Bs160.000.- (Ciento sesenta mil 00/100 Bolivianos), en moneda nacional y/o su equivalente en moneda extranjera al tipo de cambio de compra vigente. "</t>
    </r>
  </si>
  <si>
    <r>
      <t>Punto 4 del articulo 1º Límites para el manejo de efectivo, Capitulo II del Reglamento Interno de custodia de Valores, Bóveda y Cajas, dispone:</t>
    </r>
    <r>
      <rPr>
        <i/>
        <sz val="10"/>
        <rFont val="Tahoma"/>
        <family val="2"/>
      </rPr>
      <t xml:space="preserve"> "4)	Durante el día el cajero solo podrá resguardar en el mueble de ventanilla de caja la suma de Bs 35.000.- (Treinta y cinco mil 00/100 bolivianos), en moneda nacional y/o su equivalente en moneda extranjera al tipo de cambio de compra vigente y el excedente deberá ser resguardado en la caja fuerte buzón. 
En agencias donde se tiene dos (2) cajas habilitadas para su funcionamiento, el segundo cajero (sin caja fuerte buzón) deberá transferir el excedente al primer cajero o al Operativo previa coordinación, quedando en su mueble de caja solo el límite permitido."</t>
    </r>
  </si>
  <si>
    <r>
      <t xml:space="preserve">
Verificar que durante el día el cajero</t>
    </r>
    <r>
      <rPr>
        <b/>
        <sz val="10"/>
        <rFont val="Tahoma"/>
        <family val="2"/>
      </rPr>
      <t xml:space="preserve"> solo puede resguardar en ventanillas la suma de Bs35.000</t>
    </r>
    <r>
      <rPr>
        <sz val="10"/>
        <rFont val="Tahoma"/>
        <family val="2"/>
      </rPr>
      <t xml:space="preserve">.- y el excedente deberá ser resguardado en la caja fuerte buzón.
*El segundo cajero podrá resguardar en su caja Bs35000.-, el exceso transferir al primer cajero.
*En agencias/sucursales que tienen dos (2) cajeros, personal de la caja uno (1) durante la jornada laboral estará a cargo de la caja fuerte buzón.
</t>
    </r>
  </si>
  <si>
    <t xml:space="preserve">Verificar que el cajero solicite la presentación de la cedula de identidad (física o digital)  para cualquier transacción que se realice en ventanilla de cajas. </t>
  </si>
  <si>
    <t>Verificar que el personal de cajas deje su celular, billetera, cartera y accesorios personales en muebles asignados para su resguardo, fuera de las instalaciones de caja</t>
  </si>
  <si>
    <r>
      <t xml:space="preserve">Numeral 9) del articulo 2 libro de cajas y seguimiento a fallas, capitulo I, del Reglamento Interno de Custodia de Valores Bóveda y Cajas, dispone:
</t>
    </r>
    <r>
      <rPr>
        <i/>
        <sz val="10"/>
        <rFont val="Tahoma"/>
        <family val="2"/>
      </rPr>
      <t>9) Cuando se detecten billetes falsificados, el cajero deberá informar al Asistente Operativo de Agencia y en su ausencia al Operativo de Agencia, quienes retendrán el billete detectado y procederán de acuerdo a los procedimientos establecidos por el BCB</t>
    </r>
  </si>
  <si>
    <r>
      <t xml:space="preserve">Numeral 10) del articulo 2 libro de cajas y seguimiento a fallas, capitulo I, del Reglamento Interno de Custodia de Valores Bóveda y Cajas, dispone:
</t>
    </r>
    <r>
      <rPr>
        <i/>
        <sz val="10"/>
        <rFont val="Tahoma"/>
        <family val="2"/>
      </rPr>
      <t>10) Para cualquier transacción en ventanilla, el cajero solicitará la presentación de la cédula de identidad (de forma física o digital a través del dispositivo que use el cliente/usuario).</t>
    </r>
  </si>
  <si>
    <r>
      <t xml:space="preserve">Numeral 11) del articulo 2 libro de cajas y seguimiento a fallas, capitulo I, del Reglamento Interno de Custodia de Valores Bóveda y Cajas, dispone:
</t>
    </r>
    <r>
      <rPr>
        <i/>
        <sz val="10"/>
        <rFont val="Tahoma"/>
        <family val="2"/>
      </rPr>
      <t xml:space="preserve">11) El personal de cajas debe dejar su celular, billetera, cartera y accesorios personales en muebles asignados para su resguardo, fuera de las instalaciones de caja. </t>
    </r>
  </si>
  <si>
    <t>CUSTODIA DE VALORES Y DOCUMENTOS</t>
  </si>
  <si>
    <r>
      <t>Punto 6 del articulo 2º Custodia de valores, Capitulo III del Reglamento Interno de custodia de Valores, Bóveda y Cajas, dispone:</t>
    </r>
    <r>
      <rPr>
        <i/>
        <sz val="10"/>
        <rFont val="Tahoma"/>
        <family val="2"/>
      </rPr>
      <t xml:space="preserve"> "6)	Se establece que, en forma periódica (anual), el Operativo de Agencia, deberá efectuar el inventario y verificación física de los valores y documentos con valor bajo su resguardo (para el inventario de carpetas legales de créditos se coordinará desde oficina nacional la entrega del detalle de operaciones y los campos requeridos en su verificación).".</t>
    </r>
  </si>
  <si>
    <t>LIBROS DE CONTROL OPERATIVO</t>
  </si>
  <si>
    <r>
      <t xml:space="preserve">Punto 1 del articulo 2º Libro de caja y segimiento a fallas, Capitulo I del Reglamento Interno de custodia de Valores, Bóveda y Cajas, dispone: </t>
    </r>
    <r>
      <rPr>
        <i/>
        <sz val="10"/>
        <rFont val="Tahoma"/>
        <family val="2"/>
      </rPr>
      <t>"1) Es responsabilidad del Analista Nacional de Operaciones que el “Libro de Caja” este foliado y notariado, habilitando hasta finales de cada año el libro de la siguiente gestión."</t>
    </r>
  </si>
  <si>
    <r>
      <t>Verificar que el operativo de agencia lleve un registro histórico de firmas, rubricas y sellos de los cajeros, especificando la fecha de inicio de labores de cada cajero en la agencia  en el</t>
    </r>
    <r>
      <rPr>
        <b/>
        <sz val="10"/>
        <rFont val="Tahoma"/>
        <family val="2"/>
      </rPr>
      <t xml:space="preserve">  formulario "Registro de Cajeros"</t>
    </r>
    <r>
      <rPr>
        <sz val="10"/>
        <rFont val="Tahoma"/>
        <family val="2"/>
      </rPr>
      <t xml:space="preserve">, y respaldar con acta de entrega el inicio y conclusión de funciones del cajero. </t>
    </r>
  </si>
  <si>
    <t>Punto 3 del articulo 2º Libro de caja y segimiento a fallas, Capitulo I del Reglamento Interno de custodia de Valores, Bóveda y Cajas, dispone:3) El Operativo de Agencia, es el responsable de llevar el registro histórico de firmas, rúbricas y sellos de los cajeros, especificando la fecha de inicio de labores de cada Cajero en la Agencia en el Formulario de “Registro de Cajeros” y respaldar con Acta de Entrega el inicio y conclusión de funciones del Cajero.</t>
  </si>
  <si>
    <r>
      <t xml:space="preserve">Punto 4, 5, 6 del articulo 2º Libro de caja y segimiento a fallas, Capitulo I del Reglamento Interno de custodia de Valores, Bóveda y Cajas, dispone: </t>
    </r>
    <r>
      <rPr>
        <i/>
        <sz val="10"/>
        <rFont val="Tahoma"/>
        <family val="2"/>
      </rPr>
      <t>"44)	Al cierre contable, tanto el Cajero como el Operativo de Agencia, tienen la obligación de reportar contablemente toda diferencia identificada en la conciliación del efectivo y las planillas de arqueo (sobrante o faltante), no correspondiendo por ningún motivo la reposición de las diferencias con fondos propios.
5)	El Operativo de Agencia, tendrá a su cargo el registro, control y seguimiento de fallas de caja (faltantes y sobrantes), bajo el formato de libro establecido “Formulario Fallas de Caja”. Se establece que, en caso de existir faltantes, estas deben regularizarse a las 48 horas de haberse producido la falla, caso contrario se suspenderá de sus funciones al cajero o funcionario responsable del faltante, salvo exista una autorización de ampliación de plazo por parte de la Subgerencia Nacional de Operaciones y Captaciones o en su ausencia por la Gerencia General, a solicitud del Jefe de Agencia o Gerencia de Sucursal como responsables de las agencias/sucursales. El Analista Nacional de Operaciones será responsable del seguimiento periódico a su cumplimiento.
6)	En caso de identificar sobrantes por importes iguales o superiores a los Bs5.- en moneda nacional y todo importe en moneda extranjera, resultado de los recuentos y arqueos realizados, los Operativos de Agencia o Asistentes Operativos de Agencia, deben indagar sobre el origen de estos, agotando instancias de revisión con la documentación originada durante la jornada laboral y apoyando su búsqueda con las grabaciones del circuito cerrado de TV, identificando a los consumidores financieros que fueron afectados o transacciones que originaron la diferencia (plazo 3 días o 72 horas). 
Una vez identificado al cliente o usuario afectado, se debe realizar las gestiones en agencia para efectivizar su devolución, previo envío de los siguientes respaldos para valoración y autorización de la Subgerencia Nacional de Operaciones y Captaciones:
-	Informe de seguimiento a cargo del Operativo o Jefe de Agencia (modelo definido).
-	Boletas contables y captura de imagen de la transacción que origina el sobrante.
En caso de no poder identificar el origen del sobrante (plazo 3 días o 72 horas), serán pasibles a llamadas de atención que la Subgerencia Nacional de Operaciones y Captaciones considere pertinentes (cajero, asistente y operativo de agencia), según los importes (mayores a Bs70.- en moneda nacional y toda diferencia en moneda extranjera) o su reiteración en el último trimestre (más de 5 entre faltantes y sobrantes).
Cuando las fallas se originen por errores transaccionales, sin afectar a consumidores financieros, solo se requiere un correo con las explicaciones y reportes del sistema a cargo del Analista Nacional de Servicios y Seguros o del Operativo de Agencia.
El Analista Nacional de Operaciones será responsable del seguimiento periódico a su cumplimiento."</t>
    </r>
  </si>
  <si>
    <r>
      <t>Revisar que el operativo de agencia realice el registro, control y seguimiento del</t>
    </r>
    <r>
      <rPr>
        <b/>
        <sz val="10"/>
        <rFont val="Tahoma"/>
        <family val="2"/>
      </rPr>
      <t xml:space="preserve"> "Formulario Fallas de Caja", </t>
    </r>
    <r>
      <rPr>
        <sz val="10"/>
        <rFont val="Tahoma"/>
        <family val="2"/>
      </rPr>
      <t>en caso de existir faltante deberá regularizarse dentro las 48 horas 
*Al cierre contable cajero y operativo tienen que reportar toda diferencia identificada en la conciliación de efectivo y las planillas de arqueo.
*en caso de no lograr identificar el origen del sobrante (3días)Sobrante igual o mayor a Bs 70.-, y/o USD10.- los operativos de agencia o Asistentes Operativos de Agencias deberán indagar sobre el origen para efectivizar su devolución, y en caso de no poder identificar el origen del sobrante en el plazo de 3 días o 72 horas, serán pasibles a llamadas de atención.</t>
    </r>
  </si>
  <si>
    <t xml:space="preserve">Inciso g), del numeral 1), del articulo 2º transporte de remesas, Capitulo II del Reglamento Interno de custodia de Valores, Bóveda y Cajas, dispone: g) El cumplimiento de límites, transporte y responsables en el traslado de remesas, según cuadro precedente, debe ser registrado al cierre de día en el “Libro de Registro de Control de Remesas”, documento que será resguardado en ambiente de bóveda por su reserva y cuidado. </t>
  </si>
  <si>
    <r>
      <t xml:space="preserve">Verificar el correcto registro de en el </t>
    </r>
    <r>
      <rPr>
        <b/>
        <i/>
        <sz val="10"/>
        <rFont val="Tahoma"/>
        <family val="2"/>
      </rPr>
      <t xml:space="preserve">"Libro de registro de control de remesas"  </t>
    </r>
    <r>
      <rPr>
        <sz val="10"/>
        <rFont val="Tahoma"/>
        <family val="2"/>
      </rPr>
      <t>el cual debe ser custodiado en ambientes de bóveda para su reserva y cuidado.</t>
    </r>
  </si>
  <si>
    <r>
      <rPr>
        <sz val="10"/>
        <rFont val="Tahoma"/>
        <family val="2"/>
      </rPr>
      <t xml:space="preserve">Punto 5 del articulo 2º Custodia de valores, Capitulo III del Reglamento Interno de custodia de valores, bóveda y cajas, dispone: </t>
    </r>
    <r>
      <rPr>
        <i/>
        <sz val="10"/>
        <rFont val="Tahoma"/>
        <family val="2"/>
      </rPr>
      <t xml:space="preserve">"5) El Operativo de Agencia será el responsable de efectuar el registro de entrada y salida de los valores y documentos de los recintos de bóveda o cajas fuertes en libros definidos para el efecto. "
</t>
    </r>
  </si>
  <si>
    <t>Articulo 3º De la Guía de Libros de Control Operativo, Capitulo Único del Reglamento de Libros de Control Operativo,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</si>
  <si>
    <r>
      <t xml:space="preserve">Verificar el uso correcto de la </t>
    </r>
    <r>
      <rPr>
        <b/>
        <i/>
        <sz val="10"/>
        <rFont val="Tahoma"/>
        <family val="2"/>
      </rPr>
      <t xml:space="preserve">boleta de intercambio </t>
    </r>
  </si>
  <si>
    <r>
      <t xml:space="preserve">Verificar que se cuente con el </t>
    </r>
    <r>
      <rPr>
        <b/>
        <sz val="10"/>
        <rFont val="Tahoma"/>
        <family val="2"/>
      </rPr>
      <t xml:space="preserve">"Formulario bitácora de cambios en partes y verificación para mantenimiento"
</t>
    </r>
    <r>
      <rPr>
        <sz val="10"/>
        <rFont val="Tahoma"/>
        <family val="2"/>
      </rPr>
      <t>1.</t>
    </r>
    <r>
      <rPr>
        <b/>
        <sz val="10"/>
        <rFont val="Tahoma"/>
        <family val="2"/>
      </rPr>
      <t xml:space="preserve"> </t>
    </r>
    <r>
      <rPr>
        <sz val="10"/>
        <rFont val="Tahoma"/>
        <family val="2"/>
      </rPr>
      <t>En agencias:
*El Analista Nacional de Bienes de Uso e Infraestructura o los Operativos de Agencia o Jefes de Agencia, debe revisar el estado del vehículo</t>
    </r>
    <r>
      <rPr>
        <b/>
        <sz val="10"/>
        <rFont val="Tahoma"/>
        <family val="2"/>
      </rPr>
      <t xml:space="preserve"> el primer día de cada mes.</t>
    </r>
    <r>
      <rPr>
        <sz val="10"/>
        <rFont val="Tahoma"/>
        <family val="2"/>
      </rPr>
      <t xml:space="preserve">
*Los Operativos de Agencia o Jefes de Agencia, en </t>
    </r>
    <r>
      <rPr>
        <b/>
        <sz val="10"/>
        <rFont val="Tahoma"/>
        <family val="2"/>
      </rPr>
      <t xml:space="preserve">caso </t>
    </r>
    <r>
      <rPr>
        <sz val="10"/>
        <rFont val="Tahoma"/>
        <family val="2"/>
      </rPr>
      <t xml:space="preserve">que existan </t>
    </r>
    <r>
      <rPr>
        <b/>
        <sz val="10"/>
        <rFont val="Tahoma"/>
        <family val="2"/>
      </rPr>
      <t>cambios en partes y mantenimientos</t>
    </r>
    <r>
      <rPr>
        <sz val="10"/>
        <rFont val="Tahoma"/>
        <family val="2"/>
      </rPr>
      <t xml:space="preserve"> efectuados a los vehículos. 
</t>
    </r>
  </si>
  <si>
    <r>
      <t xml:space="preserve">Punto 1, 2 y 3 del articulo 3º Control y seguimiento al uso de vehículos, Capitulo Único del Reglamento Interno para Uso de Vehículos, dispone: 
"1) Una vez asignado el vehiculo, el operativo de agencia sera el responsable de coordinar y efectuar el seguimiento correspondiente al uso y mantenimiento de los vehiculos asignados a los Gerentes de Sucursal, Gerente de Normalizacion.
2) En el caso de las Agencias, el seguimiento correspondiente al uso y mantenimiento de los vehiculos debe ser realizado por los Jefes de Agencia en coordinacion con los Operativos de Agencia.
3) La jefatura nacional de administración efectuará el seguimiento correspondiente al mantenimiento de vehiculo asignado al analista nacional de bienes de uso e infraestructura."
Punto 2 del articulo 4º Partes de vehículos, Capitulo Único del Reglamento Interno para Uso de Vehículos, dispone: </t>
    </r>
    <r>
      <rPr>
        <i/>
        <sz val="10"/>
        <rFont val="Tahoma"/>
        <family val="2"/>
      </rPr>
      <t>"Los cambios en partes y mantenimientos efectuados a los vehículos deberán registrarse en el formulario Bitácora de cambios en partes y verificación de mantenimiento."</t>
    </r>
    <r>
      <rPr>
        <sz val="10"/>
        <rFont val="Tahoma"/>
        <family val="2"/>
      </rPr>
      <t xml:space="preserve">
Punto 2 del articulo 5º Uso y mantenimiento de los vehículos, Capitulo Único del Reglamento Interno para Uso de Vehículos, dispone: </t>
    </r>
    <r>
      <rPr>
        <i/>
        <sz val="10"/>
        <rFont val="Tahoma"/>
        <family val="2"/>
      </rPr>
      <t>"El primer día hábil de cada mes los vehículos deberán ser revisados por el Analista Nacional de Bienes de Uso e Infraestructura o los Operativos de Agencia o Jefes de Agencia, según corresponda, para evaluar su estado y mediante el llenado del formulario Bitácora de cambios en partes y verificación de mantenimiento para determinar su mantenimiento o las acciones que correspondan."</t>
    </r>
  </si>
  <si>
    <r>
      <t>Punto 1 , 2 y 4 del articulo 4º Revisión y control de efectivo, Capitulo Único del Reglamento Interno de Arqueos Mensuales, dispone:</t>
    </r>
    <r>
      <rPr>
        <i/>
        <sz val="10"/>
        <rFont val="Tahoma"/>
        <family val="2"/>
      </rPr>
      <t xml:space="preserve"> "1)  Se establece que es responsabilidad del Jefe de Agencia realizar mínimamente 2 arqueos de bóveda o caja fuerte de forma mensual en cualquier momento de la jornada laboral. El Operativo de Agencia o eventualmente, segun corresponda, el Cajero o el Asistente Operativo de Agenca (en caso de reemplazo) es el custodio o responsable de los recursos manejados en bóveda o caja fuerte.
2) Se establece que es responsabilidad del Jefe de Agencia realizar mínimamente dos arqueos de caja chica, de forma mensual en cualquier momento de la jornada laboral.
...
4) En caso de que el Operativo de Agencia cumpla las funciones de Cajero, el Jefe de Agencia deberá realizar el arqueo de cajas.</t>
    </r>
    <r>
      <rPr>
        <sz val="10"/>
        <rFont val="Tahoma"/>
        <family val="2"/>
      </rPr>
      <t>"</t>
    </r>
  </si>
  <si>
    <r>
      <t xml:space="preserve">Punto 1 del articulo 6º Asignación de bienes al personal, Capitulo VI del Reglamento Interno de Contabilidad, dispone: </t>
    </r>
    <r>
      <rPr>
        <i/>
        <sz val="10"/>
        <rFont val="Tahoma"/>
        <family val="2"/>
      </rPr>
      <t xml:space="preserve">"1) La Gerencia Nacional Financiera, Administrativa y de Servicios Informáticos o el Gerente de Sucursal, autorizarán el equipamiento de las Unidades y Agencias para su funcionamiento (Mobiliario y enseres, equipos e instalaciones, equipos de computación y vehículos), estos bienes serán asignados en forma individual entre el personal, quienes, en señal de conformidad de su recepción, firmarán el Acta de entrega de Activos Fijos. </t>
    </r>
    <r>
      <rPr>
        <b/>
        <i/>
        <sz val="10"/>
        <rFont val="Tahoma"/>
        <family val="2"/>
      </rPr>
      <t>."</t>
    </r>
  </si>
  <si>
    <r>
      <t>Punto 3 del Articulo 3° Disposiciones generales, Capitulo VI del Reglamento Interno de Contabilidad, dispone: "</t>
    </r>
    <r>
      <rPr>
        <i/>
        <sz val="10"/>
        <rFont val="Tahoma"/>
        <family val="2"/>
      </rPr>
      <t>3) Todos los funcionarios de la entidad son responsables de la preservación de los bienes de uso que les sea asignados. Los daños o pérdidas atribuibles a su negligencia le serán descontados de su haber mensual. "</t>
    </r>
  </si>
  <si>
    <t>Verificar que salida de bienes de uso de propiedad de la entidad cuente con la autorización  de Jefe Nacional de Administración  o el Gerente de Sucursal.</t>
  </si>
  <si>
    <r>
      <t>Punto 1 del Articulo 7° control de salida de bienes de uso, Capitulo VI del Reglamento Interno de Contabilidad, dispone: "</t>
    </r>
    <r>
      <rPr>
        <i/>
        <sz val="10"/>
        <rFont val="Tahoma"/>
        <family val="2"/>
      </rPr>
      <t>1) La salida de los bienes de uso de propiedad de la entidad será autorizada por el Jefe Nacional de Administración y Seguridad Física o el Gerente Sucursal.   "</t>
    </r>
  </si>
  <si>
    <r>
      <t xml:space="preserve">Punto 12 del articulo 5º Dispositivos para la seguridad física, Capitulo II del Reglamento Interno de Seguridad Física, dispone: </t>
    </r>
    <r>
      <rPr>
        <i/>
        <sz val="10"/>
        <color theme="1"/>
        <rFont val="Tahoma"/>
        <family val="2"/>
      </rPr>
      <t>"Cada Agencia deberá contar con luces de emergencia portátiles ante situaciones de corte intempestivo de energía eléctrica. Los Operativos de Agencia son los responsables de realizar pruebas al funcionamiento de las luces de emergencia una vez al mes, y de reportar las fallas que se observen al Analista Nacional de Seguridad Física y al Gerente Nacional de Finanzas y Administración."</t>
    </r>
  </si>
  <si>
    <r>
      <t xml:space="preserve">Punto 13 del articulo 5º Dispositivos para la seguridad física, Capitulo II del Reglamento Interno de Seguridad Física, dispone:
</t>
    </r>
    <r>
      <rPr>
        <i/>
        <sz val="10"/>
        <color theme="1"/>
        <rFont val="Tahoma"/>
        <family val="2"/>
      </rPr>
      <t xml:space="preserve">"13) Botiquín de primeros auxilios Cada Oficina y Agencia contará con un botiquín de primeros auxilios, ubicado en un lugar visible y que incluya los números de teléfonos de urgencia de la zona (bomberos, policía, centro médico más cercano, hospital, clínica, servicio de ambulancias). El contenido del botiquín debe ser revisado de manera periódica, verificándose los vencimientos y las renovaciones que sean requeridas."
</t>
    </r>
    <r>
      <rPr>
        <b/>
        <u/>
        <sz val="10"/>
        <color theme="1"/>
        <rFont val="Tahoma"/>
        <family val="2"/>
      </rPr>
      <t>Botiquín de primeros auxilios</t>
    </r>
    <r>
      <rPr>
        <sz val="10"/>
        <color theme="1"/>
        <rFont val="Tahoma"/>
        <family val="2"/>
      </rPr>
      <t xml:space="preserve"> 
procedimientos  de seguridad física,  establece:</t>
    </r>
    <r>
      <rPr>
        <i/>
        <sz val="10"/>
        <color theme="1"/>
        <rFont val="Tahoma"/>
        <family val="2"/>
      </rPr>
      <t xml:space="preserve"> "Botiquín de primeros auxilios
Todos los pisos, áreas y agencias deberán contar con un botiquín de primeros auxilios. Los Jefes de Agencia y Operativos de Agencia serán los encargados de solicitar y controlar que el botiquín cuente con los implementos y medicinas necesarias, dicho botiquín deberá contener como mínimo lo siguiente:
 Agua oxigenada.
 Solución antiséptica (mercurio o similar).
 Alcohol.
 Ungüento para quemaduras.
 Tabletas para dolor (aspirina, etc.).
 Gasa en sobres.
 Adhesivos.
 Venda elástica.
 Tijera pequeña recta."</t>
    </r>
  </si>
  <si>
    <r>
      <t>Verificar que Operativo de Agencia revise los equipos de grabación y panel de alarma una vez al mes y registre en el libro "</t>
    </r>
    <r>
      <rPr>
        <b/>
        <sz val="10"/>
        <color theme="1"/>
        <rFont val="Tahoma"/>
        <family val="2"/>
      </rPr>
      <t>Verificación Mensual de controles de seguridad física en la sala de comunicaciones".</t>
    </r>
  </si>
  <si>
    <r>
      <t xml:space="preserve">Inciso a) del Punto 3 del articulo 6º (Circuito Cerrado de Televisión), Capitulo II del Reglamento Interno de Seguridad Física, dispone: </t>
    </r>
    <r>
      <rPr>
        <i/>
        <sz val="10"/>
        <rFont val="Tahoma"/>
        <family val="2"/>
      </rPr>
      <t xml:space="preserve">"3) Los Operativos de Agencia son responsables de:
a) Verificar de manera diaria desde sus puestos de trabajo el funcionamiento de las cámaras de seguridad y reportar cualquier fallo en el funcionamiento o interrupción en las grabaciones del sistema de video vigilancia. El reporte debe ser enviado por escrito con una breve descripción de lo ocurrido al Analista Nacional de Seguridad Física con copia al Gerente Nacional de Finanzas y Administración. </t>
    </r>
  </si>
  <si>
    <r>
      <t xml:space="preserve">Inciso b) del Punto 3 del articulo 6º (Circuito Cerrado de Televisión), Capitulo II del Reglamento Interno de Seguridad Física, dispone: </t>
    </r>
    <r>
      <rPr>
        <i/>
        <sz val="10"/>
        <rFont val="Tahoma"/>
        <family val="2"/>
      </rPr>
      <t>"3) Los Operativos de Agencia son responsables de:
b) Revisar los equipos de grabación (HCVR – DVR o NVR) una vez al mes y registrar en el libro denominado “Verificación mensual de controles de seguridad física en la sala de Comunicaciones" e informar al Analista Nacional de Seguridad Física mediante correo electrónico si tuvieran alguna observación. En Agencia Chimba la responsabilidad de esta verificación queda a cargo de la Unidad de Servicios Informáticos de acuerdo a sus procedimientos estructura y controles desarrollados."</t>
    </r>
  </si>
  <si>
    <r>
      <t xml:space="preserve">Punto 10 del articulo 12º Aspectos Generales de Seguridad Física, Capitulo II del Reglamento Interno de Seguridad Física, dispone: </t>
    </r>
    <r>
      <rPr>
        <i/>
        <sz val="10"/>
        <color theme="1"/>
        <rFont val="Tahoma"/>
        <family val="2"/>
      </rPr>
      <t>"El uso de las credenciales es obligatorio durante el período de trabajo; en visitas a otras agencias y oficina nacional, cada funcionario debe portar el mismo para que sea identificado por personal de seguridad."</t>
    </r>
  </si>
  <si>
    <t>Verificar que el ingreso a la agencia se realice el control dual:
*Clave: Cajero
*Llave: Jefe de Agencia y Operativo de Agencia .
En presencia del guardia de seguridad quien verifica que se cumpla con el control dual.
(en caso que el control dual no se efectué entre cajero y  Jefe de Agencia o Operativo de agencia, guardia de seguridad debe reportar  ANSF, Gerente de Sucursal puede puede autorizar temporalmente a otro funcionario en caso de inasistencia de cualquiera de los dos )</t>
  </si>
  <si>
    <t>Verificar que Operativo de Agencia abra y cierre con llave las puertas de acceso a las áreas restringidas y de atesoramiento donde se encuentre la Caja Fuerte.</t>
  </si>
  <si>
    <t>Verificar que área de atesoramiento cuente con caja fuerte con estructura blindada, anclada al piso( cajas fuertes con un peso menor 680kg) y provista de cerradura de retardo.</t>
  </si>
  <si>
    <t>Clave de caja fuerte buzón deberá ser cambiada cada 6 meses, o antes en caso de rotación de personal que se encuentre a su cargo.</t>
  </si>
  <si>
    <t>Verificar que Operativo de Agencia revise de forma diaria el funcionamiento de cámaras de seguridad desde sus puestos de trabajo.</t>
  </si>
  <si>
    <r>
      <t>Punto 2 del articulo 1º Ingreso y salida a las Instalaciones de Agencias, Capitulo III del Reglamento Interno de Seguridad Física, señala: "</t>
    </r>
    <r>
      <rPr>
        <i/>
        <sz val="10"/>
        <rFont val="Tahoma"/>
        <family val="2"/>
      </rPr>
      <t xml:space="preserve">1) El Operativo de Agencia es responsable de que se abran y cierren con llave las puertas, cortinas y rejas de acceso a la Agencia para atención a los clientes y consumidores financieros, cumpliendo con los horarios de atención establecidos.  
2)	Las puertas de acceso a las distintas oficinas deberán contar con chapas de seguridad o para el caso de cortinas metálicas con candados, además se deberá realizar la instalación de rejas en aquellas ventanas que puedan significar un riesgo de seguridad.
3)	Para el ingreso y salida de las Agencias fijas y Sucursales se deberá cumplir con lo siguiente:
a)	El Jefe de Agencia y Operativo de Agencia contaran con la llave de acceso a la agencias que será proporcionado por el Jefe Nacional de Administración.
b)	El Cajero asignado contará con la clave de acceso para activar y desactivar el sistema de alarma de la Agencia o Sucursal, esta clave será proporcionada por el Analista Nacional de Seguridad Física.
c)	Los funcionarios responsables deben realizar la apertura/ desactivación y el cierre/ activación del sistema de alarma dentro los siguientes horarios: 
i.	De lunes a viernes desde las 07:30 horas hasta las 18:00 horas.
ii.	Sábado desde las 07:30 horas hasta las 14:30 horas.
d)	Para la solicitud de horario extendido el Jefe de Agencia o el Operativo de Agencia debe enviar la solicitud por escrito al Gerente Sucursal, señalando el motivo y hora de permanencia. La solicitud y autorización debe ser de conocimiento del Analista Nacional de Seguridad Física para que se prevea las gestiones de seguridad correspondientes.
e)	Para la apertura y cierre de agencias fijas y sucursales los funcionarios autorizados que administran la clave de acceso deberán realizar control dual con el funcionario responsable autorizado para administrar las llaves de acceso. El guardia de seguridad deberá verificar que este procedimiento sea aplicado y reportar al Analista Nacional de Seguridad Física en caso de que no se cumpla con el procedimiento descrito.
f)	De manera excepcional el Gerente de Sucursal podrá autorizar por escrito el ingreso en horarios distintos a los establecidos por CIDRE IFD. El funcionario responsable de la Agencia deberá comunicar esta autorización a la Jefatura Nacional de Administración y al Analista Nacional de Seguridad Física para que se realicen las gestiones de seguridad y monitoreo. 
g)	En Agencias Fijas y Sucursales que se cuente con distinta estructura organizacional el Gerente Nacional de Finanzas y Administración asignará a los funcionarios responsables para administrar las llaves de la puerta de acceso y la clave del sistema de alarma.
h)	En caso de que el funcionario responsable de las llaves o de la clave del sistema de alarma presente algún impedimento para asistir y cumplir con el procedimiento de apertura o cierre de las instalaciones, el Gerente Sucursal podrá autorizar temporalmente a otro funcionario para que cumpla con esta responsabilidad, esta acción debe ser puesto en conocimiento del Analista Nacional de Seguridad Física para las gestiones que correspondan </t>
    </r>
  </si>
  <si>
    <t>Punto 3 del articulo 3ºAdministración de caja fuerte buzon, Capitulo III del Reglamento Interno de Seguridad Física, señala: "3) La clave de la Caja Fuerte Buzón deberá ser cambiada cada 6 meses, o antes en caso de que se realice alguna rotación de personal que se encuentre a su cargo.    "</t>
  </si>
  <si>
    <t>Verificar que copias de las llaves de acceso a la Agencia sean custodiadas en un sobre cerrado en la Agencia de intercambio de valores. (Agencia mas cercana)</t>
  </si>
  <si>
    <t>Verificar el resguardo de la copia de la llave de la Caja Fuerte dentro la Caja Fuerte Buzón. Esta llave debe encontrarse en un sobre cerrado lacrado y firmado por el Jefe de Agencia y Operativo de Agencia. La apertura del sobre debe ser autorizada por el Gerente de Sucursal y ser de conocimiento del Analista Nacional de Seguridad Física.</t>
  </si>
  <si>
    <t>Verificar el resguardo de las llaves duplicadas de los compartimientos de Caja y de Cajas Auxiliares de los cajeros (maletín) en la Caja Fuerte de la misma Agencia, en sobres cerrados independientes, lacrados y firmados por el Jefe de Agencia y Operativo de Agencia. El retiro de cualquiera de los sobres será con autorización del Jefe de Agencia o en su ausencia del Gerente de Sucursal, y ser de conocimiento del Analista Nacional de Seguridad Física.</t>
  </si>
  <si>
    <r>
      <t>Punto 1, 2 y 3 del articulo 1º Ventanilla atención al público, Capitulo IV del Reglamento interno de Seguridad Física, dispone:</t>
    </r>
    <r>
      <rPr>
        <i/>
        <sz val="10"/>
        <color theme="1"/>
        <rFont val="Tahoma"/>
        <family val="2"/>
      </rPr>
      <t xml:space="preserve"> 
1) El área de cajas deberá contar con chapas de seguridad que permitan el acceso solo a personas autorizadas.
2) Las cámaras de seguridad deberán permitir la visualización del cliente y del mesón de cajas.
3) Cada modulo de cajas de atención al público deberá contar con un botón de pánico no audible para poder ser activado en situaciones de emergencias que requiera su pronto atención.</t>
    </r>
  </si>
  <si>
    <r>
      <t>Punto 7 del articulo 2º Administración de caja fuerte, Capitulo III del Reglamento Interno de Seguridad Física, dispone:</t>
    </r>
    <r>
      <rPr>
        <i/>
        <sz val="10"/>
        <color theme="1"/>
        <rFont val="Tahoma"/>
        <family val="2"/>
      </rPr>
      <t xml:space="preserve"> "7) El mantenimiento de los mecanismos y dispositivos de las cajas fuertes se debe realizar una vez al año en coordinación con el Analista Nacional de Seguridad Física. " </t>
    </r>
  </si>
  <si>
    <t>Punto 2 del articulo 2º Administración de caja fuerte, Capitulo III del Reglamento Interno de Seguridad Física, señala: "2) El Operativo de Agencia debe abrir y cerrar con llave las puertas de acceso a las áreas restringidas y de atesoramiento donde se encuentre la Caja Fuerte. "</t>
  </si>
  <si>
    <t>Punto 1 del articulo 2º Administración de caja fuerte, Capitulo III del Reglamento Interno de Seguridad Física, señala: "1) El área de atesoramiento cuenta con una Caja Fuerte con estructura blindada, anclada al piso (para aquellas cajas fuertes con un peso menor a 680 Kg.) y provista de cerradura de retardo. "</t>
  </si>
  <si>
    <t>inciso a), del Punto 1 del articulo 4º Custodia de copia de llaves, Capitulo III del Reglamento Interno de Seguridad Física, señala: "1)	El Operativo de Agencia es responsable de:
a) Que las copias de las llaves de acceso a la Agencia sean custodiadas en un sobre cerrado en la Agencia de intercambio de valores (Agencia más cercana o en una entidad financiera de la ciudad en la que se encuentre la Agencia). "</t>
  </si>
  <si>
    <t>inciso b), del Punto 1 del articulo 4º Custodia de copia de llaves, Capitulo III del Reglamento Interno de Seguridad Física, señala: "1)	El Operativo de Agencia es responsable de:
b) Resguardar las copias de las llaves de acceso a las áreas restringidas y de exclusión de la Agencia."</t>
  </si>
  <si>
    <t>inciso c), del Punto 1 del articulo 4º Custodia de copia de llaves, Capitulo III del Reglamento Interno de Seguridad Física, señala: "1)	El Operativo de Agencia es responsable de:
c) Resguardar una copia de la llave de la Caja Fuerte dentro la Caja Fuerte Buzón. Esta llave debe encontrarse en un sobre cerrado lacrado y firmado por el Jefe de Agencia y Operativo de Agencia. La apertura del sobre debe ser autorizada por el Gerente de Sucursal y ser de conocimiento del Analista Nacional de Seguridad Física."</t>
  </si>
  <si>
    <t>inciso d), del Punto 1 del articulo 4º Custodia de copia de llaves, Capitulo III del Reglamento Interno de Seguridad Física, señala: "1)	El Operativo de Agencia es responsable de:
d) Resguardar las llaves duplicadas de los compartimientos de Caja y de Cajas Auxiliares de los cajeros (maletín) en la Caja Fuerte de la misma Agencia, en sobres cerrados independientes, lacrados y firmados por el Jefe de Agencia y Operativo de Agencia. El retiro de cualquiera de los sobres será con autorización del Jefe de Agencia o en su ausencia del Gerente de Sucursal, y ser de conocimiento del Analista Nacional de Seguridad Física."</t>
  </si>
  <si>
    <t>Verificar que operativo de agencia cuente con inventario actualizado de la infraestructura de seguridad física del PAF (dispositivos atesoramiento, dispositivos de protección, sistemas de monitoreo, sistema de alarmas, etc.).</t>
  </si>
  <si>
    <r>
      <t xml:space="preserve">Inciso d. del punto 1 del articulo 5º Funciones del Operativo de Agencia, Capitulo I del Reglamento Interno de Seguridad física, dispone: </t>
    </r>
    <r>
      <rPr>
        <i/>
        <sz val="10"/>
        <color theme="1"/>
        <rFont val="Tahoma"/>
        <family val="2"/>
      </rPr>
      <t>"d) Registrar y mantener actualizado el inventario de la infraestructura de seguridad física del PAF (dispositivos atesoramiento, dispositivos de protección, sistemas de monitoreo, sistema de alarmas, etc.)."</t>
    </r>
  </si>
  <si>
    <t xml:space="preserve">B. FUNCIONES DE OPERATIVO DE AGENCIA </t>
  </si>
  <si>
    <t>C. DISPOSICIONES DE SEGURIDAD PARA ACCESOS Y AREAS DE ATESORAMIENTO</t>
  </si>
  <si>
    <t>D. CIRCUITO CERRADO DE TELEVISIÓN (CCTV)</t>
  </si>
  <si>
    <t>14</t>
  </si>
  <si>
    <t>PROGRAMA DE AUDITORIA 
(CONTROL INTERNO OPERATIVO)</t>
  </si>
  <si>
    <t>* 2; Artículo 2° (Custodia de Depósitos a Plazo Fijo Cartular en blanco); CAPÍTULO IV – MONITOREO Y CONTROL; del reglamento interno de depósito a plazo fijo establece: "...2) Los Certificados de DPF deben ser resguardados por el Operativo de Agencia en escritorio bajo llave durante el día y en Caja Fuerte/Bóveda de la Agencia durante la noche."
Punto 1 y 2 del artículo 2º Custodia de valores, Capitulo III del Reglamento Interno de custodia de Valores, Bóveda y Cajas, dispone: 
"1) El recinto de bóveda o de caja fuerte, según corresponda, se utilizará para el archivo de valores y documentos con valor legal o económico a cargo del Operativo de Agencia.
2) Se identifica como valores y documentos con valor legal y económico los siguientes:
a)...
c) Certificados de Depósitos a Plazo Fijo en blanco.
d) Tarjetas de Débito sin asignación.
..."
Punto 13 del artículo 2º Custodia de valores, Capitulo III del Reglamento Interno de custodia de Valores, Bóveda y Cajas, dispone: "Los Certificados de Depósito a Plazo Fijo cartulares en blanco, serán enviados por la Unidad de Administración y Seguridad Física de Oficina Nacional a cada Sucursal y Agencia según requerimiento. El Operativo de Agencia debe registrar el ingreso de cada envío en el Libro de Ingreso y Salida de Documentos de Valor de Bóveda consignando los datos en los campos establecidos. Los Certificados de Depósito a Plazo Fijo cartulares en blanco deben ser custodiados por el Operativo de Agencia o Sucursal en Caja Fuerte o dentro del espacio del ambiente de bóveda durante la noche."</t>
  </si>
  <si>
    <r>
      <t xml:space="preserve">Verificar las </t>
    </r>
    <r>
      <rPr>
        <b/>
        <sz val="10"/>
        <color theme="1"/>
        <rFont val="Tahoma"/>
        <family val="2"/>
      </rPr>
      <t>copias de los Certificados de Depósito a Plazo Fijo emitidos</t>
    </r>
    <r>
      <rPr>
        <sz val="10"/>
        <color theme="1"/>
        <rFont val="Tahoma"/>
        <family val="2"/>
      </rPr>
      <t>, deben ser resguardado físicamente en ambientes de bóveda  de la Agencia, en orden correlativo por código de cuenta en archivador de palanca.</t>
    </r>
  </si>
  <si>
    <r>
      <t>Númeral 17) Punto 4.19 Redención anticipada de DPF menores o iguales a 360 días del Procedimiento para  Depósitos a Plazo Fijo, dispone:</t>
    </r>
    <r>
      <rPr>
        <i/>
        <sz val="10"/>
        <color theme="1"/>
        <rFont val="Tahoma"/>
        <family val="2"/>
      </rPr>
      <t xml:space="preserve"> "Al finalizar la jornada laboral genera el reporte de DPF cancelados.
Retira la copia del DPF de Bóveda y custodia en un archivador de palanca identificado como DPF cancelado: el DPF original y su copia."</t>
    </r>
  </si>
  <si>
    <t xml:space="preserve">Verificar que Jefe de Agencia realice hasta el 5 de cada mes el inventario físico de los certificados de DPF emitidos y pendientes de emisión, el cual debe ser conciliado con los certificados que fueron remitidos por JNA.  </t>
  </si>
  <si>
    <r>
      <t>30), del punto 4.4. Constitución de Depósito a Plazo Fijo (DPF) Persona Natural y 32) del punto 4.5. Constitución de Depósito a Plazo Fijo (DPF) Persona Jurídica, de CONSTITUCIÓN DE DEPÓSITOS A PLAZO FIJO, del procedimiento para Depósitos a Plazo Fijo, indica :</t>
    </r>
    <r>
      <rPr>
        <i/>
        <sz val="10"/>
        <rFont val="Tahoma"/>
        <family val="2"/>
      </rPr>
      <t xml:space="preserve"> </t>
    </r>
    <r>
      <rPr>
        <b/>
        <i/>
        <sz val="10"/>
        <rFont val="Tahoma"/>
        <family val="2"/>
      </rPr>
      <t>(Jefe de agencia)</t>
    </r>
    <r>
      <rPr>
        <i/>
        <sz val="10"/>
        <rFont val="Tahoma"/>
        <family val="2"/>
      </rPr>
      <t>" Hasta el día 5 de cada mes, realiza inventario físico de los certificados de DPF emitidos y pendientes de emisión, conciliando con los certificados remitidos desde la Jefatura Nacional de Administración según formato de acta de inventario (Anexo 13). "</t>
    </r>
  </si>
  <si>
    <t xml:space="preserve">Verificar que cuente con la exposición de afiches  de canje y fraccionamiento monetario del Banco Central de Bolivia </t>
  </si>
  <si>
    <t>REVISIÓN DE CONTROL INTERNO OPERATIVO</t>
  </si>
  <si>
    <t>REVISIÓN DE CONTROL INTERNO ADMINISTRATIVO</t>
  </si>
  <si>
    <r>
      <t xml:space="preserve">Punto 1) y 2) Articulo 2º Publicación de tasas de interés, Capitulo II del </t>
    </r>
    <r>
      <rPr>
        <b/>
        <sz val="10"/>
        <rFont val="Tahoma"/>
        <family val="2"/>
      </rPr>
      <t>Reglamento Interno de Tasas de Interés</t>
    </r>
    <r>
      <rPr>
        <sz val="10"/>
        <rFont val="Tahoma"/>
        <family val="2"/>
      </rPr>
      <t xml:space="preserve">, dispone: 
</t>
    </r>
    <r>
      <rPr>
        <i/>
        <sz val="10"/>
        <rFont val="Tahoma"/>
        <family val="2"/>
      </rPr>
      <t>"1) Cada Agencia debe exponer las tasas de interés activas en pizarras ubicadas en lugares visibles al público en general.
2) Estas pizarras deben contener para cada tasa de interés los tipos de créditos, moneda, Montos, si existen otros cargos y el valor de la tasa de interés de referencia (TRe)."</t>
    </r>
  </si>
  <si>
    <r>
      <t xml:space="preserve">Punto 4 del articulo 7º Desembolso anticipado al registro de garantías, Capitulo II del </t>
    </r>
    <r>
      <rPr>
        <b/>
        <sz val="10"/>
        <color theme="1"/>
        <rFont val="Tahoma"/>
        <family val="2"/>
      </rPr>
      <t>Reglamento Interno de Instrumentación y Desembolso</t>
    </r>
    <r>
      <rPr>
        <sz val="10"/>
        <color theme="1"/>
        <rFont val="Tahoma"/>
        <family val="2"/>
      </rPr>
      <t xml:space="preserve">, dispone: </t>
    </r>
    <r>
      <rPr>
        <i/>
        <sz val="10"/>
        <color theme="1"/>
        <rFont val="Tahoma"/>
        <family val="2"/>
      </rPr>
      <t>"El Operativo de Agencia es responsable de mantener un registro histórico y actualizado de los desembolsos anticipados con el trámite pendiente de perfeccionamiento de la garantía, debiendo efectuar seguimiento a su regularización, informando la situación de los mismos de forma mensual al Jefe de Agencia, Gerente de Sucursal, Asesor Legal de Sucursal y a la Unidad de Operaciones."</t>
    </r>
  </si>
  <si>
    <r>
      <t xml:space="preserve">Punto 1 y 2 del articulo 6º Registro y control de excepciones, Capitulo II del </t>
    </r>
    <r>
      <rPr>
        <b/>
        <sz val="10"/>
        <color theme="1"/>
        <rFont val="Tahoma"/>
        <family val="2"/>
      </rPr>
      <t>Reglamento Interno de Instrumentación y Desembolso</t>
    </r>
    <r>
      <rPr>
        <sz val="10"/>
        <color theme="1"/>
        <rFont val="Tahoma"/>
        <family val="2"/>
      </rPr>
      <t xml:space="preserve">, dispone: </t>
    </r>
    <r>
      <rPr>
        <i/>
        <sz val="10"/>
        <color theme="1"/>
        <rFont val="Tahoma"/>
        <family val="2"/>
      </rPr>
      <t>"
1) El Operativo de Agencia debe llevar el registro de las excepciones definitivas y temporales aprobadas para el desembolso de las operaciones de crédito, llevando el control sobre su regularización en caso de que corresponda.
2) El archivo de excepciones efectuadas debe ser permanentemente actualizado e informado por lo menos mensualmente al Jefe de Agencia, Gerente de Sucursal y al a Unidad de Operaciones y Captaciones"</t>
    </r>
  </si>
  <si>
    <r>
      <t xml:space="preserve">Punto 3 del articulo 2º Archivo de la Carpeta Operativa, Capitulo IV del </t>
    </r>
    <r>
      <rPr>
        <b/>
        <sz val="10"/>
        <color theme="1"/>
        <rFont val="Tahoma"/>
        <family val="2"/>
      </rPr>
      <t>Reglamento de Evaluación y Análisis</t>
    </r>
    <r>
      <rPr>
        <sz val="10"/>
        <color theme="1"/>
        <rFont val="Tahoma"/>
        <family val="2"/>
      </rPr>
      <t xml:space="preserve">, dispone: </t>
    </r>
    <r>
      <rPr>
        <i/>
        <sz val="10"/>
        <color theme="1"/>
        <rFont val="Tahoma"/>
        <family val="2"/>
      </rPr>
      <t>"Por lo menos una vez al año, cada Oficial de Servicios Financieros realizará el inventario de las carpetas operativas que se encuentran a su cargo."</t>
    </r>
  </si>
  <si>
    <r>
      <t xml:space="preserve">Punto 2 del articulo 2º Archivo de la Carpeta Operativa, Capitulo IV del </t>
    </r>
    <r>
      <rPr>
        <b/>
        <sz val="10"/>
        <color theme="1"/>
        <rFont val="Tahoma"/>
        <family val="2"/>
      </rPr>
      <t>Reglamento de Evaluación y Análisis</t>
    </r>
    <r>
      <rPr>
        <sz val="10"/>
        <color theme="1"/>
        <rFont val="Tahoma"/>
        <family val="2"/>
      </rPr>
      <t xml:space="preserve">, dispone: 2) </t>
    </r>
    <r>
      <rPr>
        <i/>
        <sz val="10"/>
        <color theme="1"/>
        <rFont val="Tahoma"/>
        <family val="2"/>
      </rPr>
      <t>"Las carpetas operativas de crédito se archivan por moneda y por orden alfabético, debiendo estar bajo la custodia del Oficial de Servicios Financieros respectivo."</t>
    </r>
  </si>
  <si>
    <r>
      <t xml:space="preserve">Articulo 2 y 7, Capitulo Único del </t>
    </r>
    <r>
      <rPr>
        <b/>
        <sz val="10"/>
        <color theme="1"/>
        <rFont val="Tahoma"/>
        <family val="2"/>
      </rPr>
      <t>Reglamento Interno de Archivo e Inventario de Carpetas Legales</t>
    </r>
    <r>
      <rPr>
        <sz val="10"/>
        <color theme="1"/>
        <rFont val="Tahoma"/>
        <family val="2"/>
      </rPr>
      <t xml:space="preserve">, dispone: </t>
    </r>
    <r>
      <rPr>
        <i/>
        <sz val="10"/>
        <color theme="1"/>
        <rFont val="Tahoma"/>
        <family val="2"/>
      </rPr>
      <t xml:space="preserve">"ARTÍCULO 2° (De los responsables del archivo e inventario físico)
El Operativo de Agencia es la persona responsable del archivo de las carpetas legales de crédito así como de llevar a cabo el inventario físico periódico, en coordinación con la Subgerencia Nacional de Operacines y captaciones.
 ARTÍCULO 7° (De la periodicidad del inventario físico)
Todas las carpetas legales de créditos, independientemente del tipo de garantía de los créditos, deben ser inventariadas de forma </t>
    </r>
    <r>
      <rPr>
        <b/>
        <i/>
        <sz val="10"/>
        <color theme="1"/>
        <rFont val="Tahoma"/>
        <family val="2"/>
      </rPr>
      <t>ANUAL</t>
    </r>
    <r>
      <rPr>
        <i/>
        <sz val="10"/>
        <color theme="1"/>
        <rFont val="Tahoma"/>
        <family val="2"/>
      </rPr>
      <t xml:space="preserve"> por los Operativos de Agencia y segun corresponda el Asistente Operativo de Agencia, bajo reportes o listados que serán remitidos desde la Subgerencia Nacional de Operaciones y Captaciones con el detalle de créditos para su inventario (revisando contratos y documentos de garantía)."</t>
    </r>
  </si>
  <si>
    <r>
      <t xml:space="preserve">Articulo 3, 4 y 5, Capitulo Único del </t>
    </r>
    <r>
      <rPr>
        <b/>
        <sz val="10"/>
        <color theme="1"/>
        <rFont val="Tahoma"/>
        <family val="2"/>
      </rPr>
      <t>Reglamento Interno de Archivo e Inventario de Carpetas Legales</t>
    </r>
    <r>
      <rPr>
        <sz val="10"/>
        <color theme="1"/>
        <rFont val="Tahoma"/>
        <family val="2"/>
      </rPr>
      <t xml:space="preserve">, </t>
    </r>
    <r>
      <rPr>
        <i/>
        <sz val="10"/>
        <color theme="1"/>
        <rFont val="Tahoma"/>
        <family val="2"/>
      </rPr>
      <t xml:space="preserve">dispone: </t>
    </r>
    <r>
      <rPr>
        <b/>
        <i/>
        <sz val="10"/>
        <color theme="1"/>
        <rFont val="Tahoma"/>
        <family val="2"/>
      </rPr>
      <t xml:space="preserve">"ARTÍCULO 3° </t>
    </r>
    <r>
      <rPr>
        <i/>
        <sz val="10"/>
        <color theme="1"/>
        <rFont val="Tahoma"/>
        <family val="2"/>
      </rPr>
      <t xml:space="preserve">(Del archivo de carpetas legales con garantía no sujeta a registro)
1) Deben ser custodiados en Archivadores de Palanca, los documentos de la carpeta legal de créditos con garantía personal, a sola firma y prendaria sin registro (bienes muebles/enseres, semovientes, equipo menor y otros).
2) Los archivadores deben estar ordenados en orden cronológico por fecha de desembolso, es decir del desembolso más antiguo al más reciente. La forma de archivo para los documentos será dentro de fundas plásticas, lo cual evitará su deterioro así como una forma de separar físicamente un crédito del otro.
3) Esta documentación debe ser custodiada en recinto de Bóveda o Caja Fuerte según corresponda y ante la falta de espacio en ambientes de restricción.
</t>
    </r>
    <r>
      <rPr>
        <b/>
        <i/>
        <sz val="10"/>
        <color theme="1"/>
        <rFont val="Tahoma"/>
        <family val="2"/>
      </rPr>
      <t xml:space="preserve">ARTÍCULO 4° </t>
    </r>
    <r>
      <rPr>
        <i/>
        <sz val="10"/>
        <color theme="1"/>
        <rFont val="Tahoma"/>
        <family val="2"/>
      </rPr>
      <t xml:space="preserve">(Del archivo de carpetas legales con garantía sujeta a registro y documentos en custodia)
1) Los documentos de la carpeta legal de créditos con garantía hipotecaria, prendaria sujeta a registro y documentos en custodia, deben archivarse dentro de gavetas y en carpetas separadas, ordenados en orden alfabético por apellido paterno para un mejor control y rápida ubicación.
2) Las gavetas deben encontrarse en ambiente de caja fuerte o Bóveda y/o en áreas de restricción, bajo llave.
</t>
    </r>
    <r>
      <rPr>
        <b/>
        <i/>
        <sz val="10"/>
        <color theme="1"/>
        <rFont val="Tahoma"/>
        <family val="2"/>
      </rPr>
      <t xml:space="preserve">ARTÍCULO 5° </t>
    </r>
    <r>
      <rPr>
        <i/>
        <sz val="10"/>
        <color theme="1"/>
        <rFont val="Tahoma"/>
        <family val="2"/>
      </rPr>
      <t>(Del rotulado de la carpeta legal)
1) Las carpetas legales de créditos con garantías hipotecarias, prendarias sujetas a registro y documentos en custodia, deben ser rotulados con el nombre y código de cuenta cliente, respetando en todo momento el tipo de letra, tamaño y posición definido para su estandarización a nivel nacional, tal como se muestra a continuación:
a) Hoja carta 8.5” / 11”
b) Tipo de letra Arial
c) Tamaño de letra: 22
d) Orientación: Horizontal
2) En Anexo.1 adjunto se encuentra un modelo para su utilización en rotulados.
3) El rotulado debe ser pegado en la parte frontal derecha de la carpeta legal de crédito, de forma vertical, ubicación que facilitará su control y revisión para efectos de inventario."</t>
    </r>
  </si>
  <si>
    <r>
      <t xml:space="preserve">Articulo 17º Del extravío de talonarios asignados de recibos de cobranza, Capitulo Único del </t>
    </r>
    <r>
      <rPr>
        <b/>
        <sz val="10"/>
        <rFont val="Tahoma"/>
        <family val="2"/>
      </rPr>
      <t>Reglamento Interno de Recibos de Cobranza</t>
    </r>
    <r>
      <rPr>
        <sz val="10"/>
        <rFont val="Tahoma"/>
        <family val="2"/>
      </rPr>
      <t xml:space="preserve">, dispone:
</t>
    </r>
    <r>
      <rPr>
        <i/>
        <sz val="10"/>
        <rFont val="Tahoma"/>
        <family val="2"/>
      </rPr>
      <t xml:space="preserve">"1) Ante un extravío del talonario de recibo asignado, el funcionario responsable de su custodia debe informar dentro las 24 horas siguientes al Operativo de Agencia y Jefe de Agencia.
2) El funcionario responsable del talonario de recibo, por su cuenta, deberá publicar durante tres (3) días en diario de circulación nacional, el aviso de extravío, haciendo conocer la anulación de los números de recibo y presentar las publicaciones respectivas al Operativo de Agencia y Jefe de Agencia como respaldo.
</t>
    </r>
    <r>
      <rPr>
        <b/>
        <i/>
        <sz val="10"/>
        <rFont val="Tahoma"/>
        <family val="2"/>
      </rPr>
      <t>EJEMPLO DE PUBLICACION:</t>
    </r>
    <r>
      <rPr>
        <i/>
        <sz val="10"/>
        <rFont val="Tahoma"/>
        <family val="2"/>
      </rPr>
      <t xml:space="preserve">
“Se ha extraviado el talonario de “RECIBO DE COBRANZA” del No. 011401 al 011500 pertenecientes a CIDRE IFD (Institución Financiera de Desarrollo) de los cuales los recibos No. XXXX, YYYY, ZZZZ, quedan nulos y sin valor legal alguno.”</t>
    </r>
  </si>
  <si>
    <r>
      <t xml:space="preserve">Articulo 15º De la anulación de los recibos de cobranza, Capitulo Único del </t>
    </r>
    <r>
      <rPr>
        <b/>
        <sz val="10"/>
        <rFont val="Tahoma"/>
        <family val="2"/>
      </rPr>
      <t>Reglamento Interno de Recibos de Cobranza</t>
    </r>
    <r>
      <rPr>
        <sz val="10"/>
        <rFont val="Tahoma"/>
        <family val="2"/>
      </rPr>
      <t xml:space="preserve">, dispone: 
</t>
    </r>
    <r>
      <rPr>
        <i/>
        <sz val="10"/>
        <rFont val="Tahoma"/>
        <family val="2"/>
      </rPr>
      <t>"1) Un recibo será anulado con autorización del Operativo de Agencia, instancia que debe registrar en la Hoja de Control el motivo de su anulación (Anexo 2 Hoja de Control de Recibo de Cobranza).
2) En el talonario de recibo de cobranza se deberá engrampar y marcar con un sello de ANULADO, el original y las dos copias del recibo anulado."</t>
    </r>
  </si>
  <si>
    <r>
      <t xml:space="preserve">Articulo 9º Del llenado del Recibo de Cobranza , Capitulo Único del </t>
    </r>
    <r>
      <rPr>
        <b/>
        <sz val="10"/>
        <rFont val="Tahoma"/>
        <family val="2"/>
      </rPr>
      <t>Reglamento Interno de Recibos de Cobranza</t>
    </r>
    <r>
      <rPr>
        <sz val="10"/>
        <rFont val="Tahoma"/>
        <family val="2"/>
      </rPr>
      <t>, dispone:</t>
    </r>
    <r>
      <rPr>
        <i/>
        <sz val="10"/>
        <rFont val="Tahoma"/>
        <family val="2"/>
      </rPr>
      <t xml:space="preserve">"El llenado del recibo es de responsabilidad única del funcionario a cargo del talonario asignado, el recibo debe tener datos claros y correctos (se adjunta Guía de llenado del Recibo de Cobranza) Anexo 3."
</t>
    </r>
    <r>
      <rPr>
        <sz val="10"/>
        <rFont val="Tahoma"/>
        <family val="2"/>
      </rPr>
      <t xml:space="preserve">
</t>
    </r>
  </si>
  <si>
    <r>
      <t>Articulo 3º De la Guía de Libros de Control Operativo, Capitulo Único del</t>
    </r>
    <r>
      <rPr>
        <b/>
        <sz val="10"/>
        <rFont val="Tahoma"/>
        <family val="2"/>
      </rPr>
      <t xml:space="preserve"> Reglamento de Libros de Control Operativo</t>
    </r>
    <r>
      <rPr>
        <sz val="10"/>
        <rFont val="Tahoma"/>
        <family val="2"/>
      </rPr>
      <t>,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
*Articulo 19º Del control de recibos de cobranza , Capitulo Único del</t>
    </r>
    <r>
      <rPr>
        <b/>
        <sz val="10"/>
        <rFont val="Tahoma"/>
        <family val="2"/>
      </rPr>
      <t xml:space="preserve"> Reglamento Interno de Recibos de Cobranza</t>
    </r>
    <r>
      <rPr>
        <sz val="10"/>
        <rFont val="Tahoma"/>
        <family val="2"/>
      </rPr>
      <t>, dispone:</t>
    </r>
    <r>
      <rPr>
        <i/>
        <sz val="10"/>
        <rFont val="Tahoma"/>
        <family val="2"/>
      </rPr>
      <t xml:space="preserve"> 
1) Es responsabilidad del Operativo de Agencia, realizar un control semanal de la emisión de recibos, procediendo a solicitar los talonarios de Recibo de Cobranza a los funcionarios responsables de su manejo, revisar la cantidad de recibos emitidos en el periodo (lunes a sábado) y verificar que todos los recibos emitidos cuenten con firma/sello de autorización del depósito de los dineros en ventanillas de caja.
2) El Operativo de Agencia debe registrar los datos de cada recibo en una Hoja de Control según el formato definido (Anexo 2 Hoja de Control de Recibo de Cobranza), acción que respaldará el control semanal de los talonarios de recibo."</t>
    </r>
  </si>
  <si>
    <r>
      <t xml:space="preserve">Articulo 3º De la Guía de Libros de Control Operativo, Capitulo Único del </t>
    </r>
    <r>
      <rPr>
        <b/>
        <sz val="10"/>
        <rFont val="Tahoma"/>
        <family val="2"/>
      </rPr>
      <t>Reglamento de Libros de Control Operativo</t>
    </r>
    <r>
      <rPr>
        <sz val="10"/>
        <rFont val="Tahoma"/>
        <family val="2"/>
      </rPr>
      <t xml:space="preserve">,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
*Articulo 6º De los funcionarios autorizados y el articulo  8º De la distribución de talonarios de recibos de cobranza y el articulo 16º De la devolución de talonarios de recibos utilizados, Capitulo Único del </t>
    </r>
    <r>
      <rPr>
        <b/>
        <sz val="10"/>
        <rFont val="Tahoma"/>
        <family val="2"/>
      </rPr>
      <t>Reglamento Interno de Recibos de Cobranza</t>
    </r>
    <r>
      <rPr>
        <sz val="10"/>
        <rFont val="Tahoma"/>
        <family val="2"/>
      </rPr>
      <t xml:space="preserve">, </t>
    </r>
    <r>
      <rPr>
        <i/>
        <sz val="10"/>
        <rFont val="Tahoma"/>
        <family val="2"/>
      </rPr>
      <t xml:space="preserve">dispone: "Articulo 6° (De los funcionarios autorizados)
1) Recibo de Cobranza -cobranza en Campo
Los funcionarios autorizados para el uso del Recibo de Cobranza son:
a) Oficiales de Servicios Financieros,
b) Oficiales de Normalización, y
c) Jefes de Agencia
Los cuales podrán utilizar el documento para registrar y controlar adecuadamente la recuperación de cartera en campo.
2) Por nignun motivo el "Recibo de Cobranza" podrá ser utilizado dentro la agencia, todas las cobranzas deben ser realizadas en campo por los Oficiales y/o Jefes de Agencia.
3) Recibo de Cobranza-Contingencia Operaciones
Los funcionarios  autorizados para el uso del Recibo de Cobranza- Contingencia Operaciones son:
a) Operativos de Agencia,
b) Cajeros
Los cuales podrán utilizar el documento para registrar y controlar adecuadamente la recuperación de cartera y otros en situaciones donde los fondos no pueden ser depositados en ventanillas.
4) Todas las cobranzas con el "Recibo de Cobranza - Contingencia Operaciones" deben ser realizadas en agencia por los Cajeros o los Operativos de Agencia.
Articulo 8° (De la distribución de talonarios de recibos de cobranza)
1) La distribución de los talonarios de recibo de cobranza a las agencias será realizada por la Jefatura Nacional de Administración y Seguridad Física a cada Operativo de Agencia, bajo un registro de numeración de talonario y cantidades entregadas.
2) Los Operativos de Agencia, serán responsables de entregar los talonarios de recibo de cobranza a los Jefes de Agencia y Oficiales de Servicios Financieros, Normalización y Recuperaciones (un talonario por vez a cada funcionario).
3) Los funcionarios que recepcionen el talonario de recibo de cobranza, deben firmar como constancia de entrega, registrando adicionalmente la numeración del talonario que le fue entregado (Anexo 1 Control de Entrega y Devolución de Talonarios de Recibo de Cobranza).
</t>
    </r>
    <r>
      <rPr>
        <sz val="10"/>
        <rFont val="Tahoma"/>
        <family val="2"/>
      </rPr>
      <t>Articulo 16°</t>
    </r>
    <r>
      <rPr>
        <i/>
        <sz val="10"/>
        <rFont val="Tahoma"/>
        <family val="2"/>
      </rPr>
      <t xml:space="preserve"> (De la devolución de talonarios de recibos utilizados)
Los talonarios con recibos totalmente emitidos, deberán ser devueltos para su custodia y resguardo al Operativo de Agencia quién debe registrar la devolución en la Hoja de Control (Anexo 1 Control de Entrega y Devolución de Talonarios de Recibo de Cobranza)."</t>
    </r>
  </si>
  <si>
    <r>
      <t xml:space="preserve">Articulo 10º (De la autorización del Recibo de Cobranza), Capitulo Único del </t>
    </r>
    <r>
      <rPr>
        <b/>
        <sz val="10"/>
        <rFont val="Tahoma"/>
        <family val="2"/>
      </rPr>
      <t>Reglamento Interno de Recibos de Cobranza</t>
    </r>
    <r>
      <rPr>
        <sz val="10"/>
        <rFont val="Tahoma"/>
        <family val="2"/>
      </rPr>
      <t xml:space="preserve">, dispone: "Para realizar el depósito en Cajas del dinero recepcionado con recibo de cobranza, previamente el recibo debe ser entregado al Operativo de Agencia o en su ausencia al Jefe de Agencia, instancia que luego de verificar su adecuado llenado dará su autorización, a través de su firma y sello en el recibo de cobranza".
Articulo 13° (Del efectivo cobrado fuera de horarios de Atención a Clientes y Usuarios), Capitulo Único del </t>
    </r>
    <r>
      <rPr>
        <b/>
        <sz val="10"/>
        <rFont val="Tahoma"/>
        <family val="2"/>
      </rPr>
      <t>Reglamento Interno de Recibos de Cobranza</t>
    </r>
    <r>
      <rPr>
        <sz val="10"/>
        <rFont val="Tahoma"/>
        <family val="2"/>
      </rPr>
      <t>, dispone:
Las cobranzas realizadas por personal autorizado utilizando los recibos de cobranza, deben ser depositadas en Cajas en el día y salvo situaciones justificadas, a primera hora del día siguiente a su cobro.</t>
    </r>
  </si>
  <si>
    <r>
      <t>Articulo 3º De la Guía de Libros de Control Operativo, Capitulo Único del</t>
    </r>
    <r>
      <rPr>
        <b/>
        <sz val="10"/>
        <rFont val="Tahoma"/>
        <family val="2"/>
      </rPr>
      <t xml:space="preserve"> Reglamento de Libros de Control Operativo</t>
    </r>
    <r>
      <rPr>
        <sz val="10"/>
        <rFont val="Tahoma"/>
        <family val="2"/>
      </rPr>
      <t>, dispone: "La Subgerencia Nacional de Operaciones y Captaciones establece la Guía de Libros de Control Operativo (Anexo.1), con el objetivo de uniformar y estandarizar el llenado de los libros en agencias de la entidad. La guía debe ser utilizada por los Operativos de Agencia, como referente para registrar diferente tipo de información relacionada con controles operativos realizados por ellos. Esta guía contiene:
1) Detalle de libros habilitados en las agencias/sucursales.
2) Formato y configuración.
3) Guía de llenado para los campos de cada LIBRO.
4) Información sobre la normativa interna y/o comunicación interna que respalda su habilitación y vigencia.
5) Responsables de su envío y configuración.
6) Información necesaria que facilita su comprensión y uso."</t>
    </r>
  </si>
  <si>
    <r>
      <t xml:space="preserve">Puntos 7 al 12  Articulo 2º Custodia de Valores, Capitulo III del </t>
    </r>
    <r>
      <rPr>
        <b/>
        <sz val="10"/>
        <rFont val="Tahoma"/>
        <family val="2"/>
      </rPr>
      <t>Reglamento Interno de Custodia de Valores Boveda y Cajas</t>
    </r>
    <r>
      <rPr>
        <sz val="10"/>
        <rFont val="Tahoma"/>
        <family val="2"/>
      </rPr>
      <t>, dispone:
7)	Los préstamos de carpetas legales y/o documentos de garantía a abogados internos para revisión o inicio de acciones judiciales, y a abogados externos contratados para realizar trámites legales, deben contar con la autorización del Jefe de Agencia o Gerente de Sucursal y ser registrados en los libros correspondientes (ingreso/salida de carpetas legales de bóveda y transferencia de valores o documentos). 
Cuando la carpeta legal sea solicitada para el inicio de acciones legales, adicionalmente corresponde al operativo de agencia obtener una fotocopia de toda la documentación legal prestada, registrando en la fotocopia la siguiente leyenda “Inicio de Acciones Legales – Fecha de Entrega xx/xx/xxxx”, archivando esta documentación en la carpeta legal.
8)	Se realizará el préstamo de carpetas legales para efectos de refinanciamiento o reprogramación o nuevos créditos, solo en caso de no contar con copias de la documentación en la carpeta operativa del crédito. Es importante aclarar que los Oficiales de Servicios Financieros deben, en lo posible, evitar manipular los sobres con los documentos legales originales. El Jefe de Agencia es responsable de que los sobres legales en préstamo sean devueltos en un plazo no mayor a 48 horas por el Oficial de Servicios Financieros, bajo respaldo de su registro en el libro de control correspondiente.
9)	 Los traspasos de carpetas legales y/o documentos de bienes en garantía a otras Agencias, deben contar con la autorización del Jefe de Agencia o Gerente de Sucursal, según corresponda, y ser registrados en los libros correspondientes (ingreso/salida de carpetas legales de bóveda y transferencia de valores o documentos). 
10)	Los préstamos de carpetas legales y/o documentos de bienes en garantía deben ser restringidos, a excepción de los movimientos descritos en los puntos 7 y 9 y cuando sean requeridas para evaluaciones de inspección (riesgo, auditorías, ASFI y otras).
Cuando se tengan solicitudes de préstamo de carpetas legales por las unidades de control interno de la entidad, auditorías externas e inspectores de la ASFI, no corresponde registrar los movimientos en los libros correspondientes (ingreso/salida de carpetas legales de bóveda y transferencia de valores o documentos). El respaldo de su préstamo será el reporte o listado con firma/sello de los responsables de su recepción y entrega.
11)	El plazo máximo para que el Operativo de Agencia entregue en préstamo las carpetas legales y/o documentos de bienes en garantía será de 24 horas, y el plazo máximo para su traspaso a otra Agencia de 72 horas. Plazos establecidos a partir de la fecha de solicitud.
12)	El seguimiento a la devolución de documentos prestados (carpetas legales o documentos de garantía) estará a cargo del Operativo de Agencia y debe ser realizado de forma mensual. El respaldo del control será el registro de ingreso del documento en el Libro correspondiente (ingreso/salida de carpetas legales de bóveda).</t>
    </r>
  </si>
  <si>
    <r>
      <t xml:space="preserve">Verificar el correcto llenado del  </t>
    </r>
    <r>
      <rPr>
        <b/>
        <sz val="10"/>
        <rFont val="Tahoma"/>
        <family val="2"/>
      </rPr>
      <t>Libro de Caja</t>
    </r>
    <r>
      <rPr>
        <sz val="10"/>
        <rFont val="Tahoma"/>
        <family val="2"/>
      </rPr>
      <t xml:space="preserve"> diario, y que esté foliado y notariado.
El operativo de agencia debe realizar la revisión y verificación del efectivo declarado "saldo de cierre".
En caso que se tengan 2 cajeros, se realizara control cruzado entre ambas cajas, dando su conformidad el cajero revisor estampara su firma y sello, remiiendo al asistente operativo (operativo de agencia en aquellas agencias que no cuentan con asistentes operativos) la planilla y documentos para su visto bueno</t>
    </r>
  </si>
  <si>
    <t>PROGRAMA DE AUDITORIA 
(CONTROL INTERNO DE ADMINISTRACIÓN)</t>
  </si>
  <si>
    <t>17</t>
  </si>
  <si>
    <t>18</t>
  </si>
  <si>
    <t>F. ASPECTOS GENERALES DE SEGURIDAD FÍSICA</t>
  </si>
  <si>
    <t>REVISIÓN DE IMPLEMENTACIÓN DE PLANES DISEÑADOS PARA LA GESTIÓN DE SEGURIDAD FÍSICA</t>
  </si>
  <si>
    <t>FORMATO</t>
  </si>
  <si>
    <t>CONTROL INTERNO OPERATIVO</t>
  </si>
  <si>
    <t>DETALLE DE REQUERIMIENTOS</t>
  </si>
  <si>
    <t>SOLICITUD DE REQUERIMIENTO POR LA UNIDAD DE AUDITORÍA INTERNA.</t>
  </si>
  <si>
    <r>
      <t>Verificar que el efectivo resguardado en Bóveda y/o cajas fuertes cumpla con el limite máximo de efectivo asignado para cada agencia</t>
    </r>
    <r>
      <rPr>
        <b/>
        <sz val="10"/>
        <rFont val="Tahoma"/>
        <family val="2"/>
      </rPr>
      <t>.</t>
    </r>
  </si>
  <si>
    <t>Obtener datos de las chequeras como ser: Nombre de la entidad, moneda, cuenta corriente, numero de inicio y fin de la chequera, ultimo cheque emitido y registrar los cheques anulados.</t>
  </si>
  <si>
    <t>Identificar las áreas restringidas y de exclusión y verificar el resguardo de las copias de las llaves de acceso a las áreasde la Agencia.</t>
  </si>
  <si>
    <r>
      <t xml:space="preserve">Detección de billetes falsos </t>
    </r>
    <r>
      <rPr>
        <b/>
        <sz val="10"/>
        <color theme="1"/>
        <rFont val="Tahoma"/>
        <family val="2"/>
      </rPr>
      <t>(Detectados durante el periodo entre junio 2023 a la fecha)</t>
    </r>
  </si>
  <si>
    <t>Físico/Original</t>
  </si>
  <si>
    <t>Libro de registro de control de remesas</t>
  </si>
  <si>
    <r>
      <t xml:space="preserve">Control diario en agencias </t>
    </r>
    <r>
      <rPr>
        <b/>
        <sz val="10"/>
        <rFont val="Tahoma"/>
        <family val="2"/>
      </rPr>
      <t>(Realizados desde junio 2023 a la fecha).</t>
    </r>
  </si>
  <si>
    <r>
      <t xml:space="preserve">Chequeras de recursos propios en Bs y $us. </t>
    </r>
    <r>
      <rPr>
        <b/>
        <sz val="10"/>
        <rFont val="Tahoma"/>
        <family val="2"/>
      </rPr>
      <t>(Emitidos desde junio 2023 a la fecha)</t>
    </r>
  </si>
  <si>
    <t>Libro de Control de Carpetas para Desembolso</t>
  </si>
  <si>
    <r>
      <t xml:space="preserve">Arqueos Mensuales realizados por el jefe de agencia (Bóveda y Caja Chica); </t>
    </r>
    <r>
      <rPr>
        <b/>
        <sz val="10"/>
        <rFont val="Tahoma"/>
        <family val="2"/>
      </rPr>
      <t>(Realizados desde junio 2023 a la fecha)</t>
    </r>
  </si>
  <si>
    <r>
      <t xml:space="preserve">Arqueos mensuales realizados por el operativo de agencia (cajas); </t>
    </r>
    <r>
      <rPr>
        <b/>
        <sz val="10"/>
        <rFont val="Tahoma"/>
        <family val="2"/>
      </rPr>
      <t>(Realizados desde junio 2023 a la fecha)</t>
    </r>
  </si>
  <si>
    <t>Libro u hoja de control de entrega y devolución de talonarios de recibo de cobranza</t>
  </si>
  <si>
    <t>Hoja de control semanal de recibo de cobranzas</t>
  </si>
  <si>
    <r>
      <t xml:space="preserve">Inventario de carpetas legales realizado por el Operativo de Agencia </t>
    </r>
    <r>
      <rPr>
        <b/>
        <sz val="10"/>
        <color theme="1"/>
        <rFont val="Tahoma"/>
        <family val="2"/>
      </rPr>
      <t>(Realizados durante la gestión 2023)</t>
    </r>
  </si>
  <si>
    <r>
      <t xml:space="preserve">Inventario de carpetas Operativas realizado por el OSF  </t>
    </r>
    <r>
      <rPr>
        <b/>
        <sz val="10"/>
        <color theme="1"/>
        <rFont val="Tahoma"/>
        <family val="2"/>
      </rPr>
      <t>(Realizados durante la gestión 2023)</t>
    </r>
  </si>
  <si>
    <r>
      <t xml:space="preserve">Registro de las excepciones definitivas y temporales </t>
    </r>
    <r>
      <rPr>
        <b/>
        <sz val="10"/>
        <color theme="1"/>
        <rFont val="Tahoma"/>
        <family val="2"/>
      </rPr>
      <t>(Enviados desde junio 2023 a la fecha)</t>
    </r>
  </si>
  <si>
    <t>Correo</t>
  </si>
  <si>
    <r>
      <t xml:space="preserve">Registro histórico y actualizado de los desembolsos anticipados con el trámite pendiente de perfeccionamiento de garantía, </t>
    </r>
    <r>
      <rPr>
        <b/>
        <sz val="10"/>
        <color theme="1"/>
        <rFont val="Tahoma"/>
        <family val="2"/>
      </rPr>
      <t>(Enviados desde junio 2023 a la fecha)</t>
    </r>
  </si>
  <si>
    <t>CONTROL INTERNO ADMINISTRATIVO</t>
  </si>
  <si>
    <r>
      <t xml:space="preserve">Formulario bitácora de cambios en partes y verificación para mantenimiento </t>
    </r>
    <r>
      <rPr>
        <b/>
        <sz val="10"/>
        <rFont val="Tahoma"/>
        <family val="2"/>
      </rPr>
      <t>(Realizados desde junio 2023 a la fecha)</t>
    </r>
  </si>
  <si>
    <t>Libro Control de Vehículo del(os) vehículo(s)</t>
  </si>
  <si>
    <t>Documento que respalde las pruebas periódicas al sistema de alarmas realizada por el jefe de agencia (Realizados durante la gestión 2023).</t>
  </si>
  <si>
    <t>Físico/Original o Correo</t>
  </si>
  <si>
    <t>Documentos que respalde la custodia de las llaves de acceso a la agencia, en una agencia de intercambio</t>
  </si>
  <si>
    <t>Documentos que respalde la custodia de las llave de la cerradura de caja fuerte en una agencia de intercambio</t>
  </si>
  <si>
    <t>Verificación Mensual de controles de seguridad física en la sala de comunicaciones</t>
  </si>
  <si>
    <r>
      <t xml:space="preserve">Inventario de los valores y documentos con valor de la caja fuerte </t>
    </r>
    <r>
      <rPr>
        <b/>
        <sz val="10"/>
        <color theme="1"/>
        <rFont val="Tahoma"/>
        <family val="2"/>
      </rPr>
      <t>gestión 2023.</t>
    </r>
  </si>
  <si>
    <r>
      <t xml:space="preserve">Documento que respalde el mantenimiento de las claves y cerraduras de las bóvedas </t>
    </r>
    <r>
      <rPr>
        <b/>
        <sz val="10"/>
        <color theme="1"/>
        <rFont val="Tahoma"/>
        <family val="2"/>
      </rPr>
      <t>(Realizados durante la gestión 2023)</t>
    </r>
  </si>
  <si>
    <r>
      <t xml:space="preserve">Documento que respalde las pruebas mensuales al funcionamiento de las luces de emergencia portátiles </t>
    </r>
    <r>
      <rPr>
        <b/>
        <sz val="10"/>
        <color theme="1"/>
        <rFont val="Tahoma"/>
        <family val="2"/>
      </rPr>
      <t>(Realizados desde junio 2023 a la fecha)</t>
    </r>
  </si>
  <si>
    <r>
      <t xml:space="preserve">Acta de Inventario de los certificados de DPF emitidos y pendientes de emisión realizado por el Jefe de Agencia </t>
    </r>
    <r>
      <rPr>
        <b/>
        <sz val="10"/>
        <color theme="1"/>
        <rFont val="Tahoma"/>
        <family val="2"/>
      </rPr>
      <t>(Realizados desde junio 2023 a la fecha)</t>
    </r>
  </si>
  <si>
    <t>PERIODO DE EMISIÓN:</t>
  </si>
  <si>
    <t>BANCO MONEDA EXTRANJERA</t>
  </si>
  <si>
    <t>INSITU-BÓVEDA</t>
  </si>
  <si>
    <t>INSITU-CAJAS</t>
  </si>
  <si>
    <t>INSITU-OPERATIVO</t>
  </si>
  <si>
    <t>INSITU-AGENCIA</t>
  </si>
  <si>
    <t>DOCUMENTACIÓN</t>
  </si>
  <si>
    <t>INSITU-BOVEDA</t>
  </si>
  <si>
    <t>Jefe de Agencia
Operativo de Agencia
Cajera.</t>
  </si>
  <si>
    <t>Jefe de Agencia
Operativo de Agencia</t>
  </si>
  <si>
    <t>Analista Nacional de Activos</t>
  </si>
  <si>
    <t>Oficina Nacional.</t>
  </si>
  <si>
    <r>
      <t xml:space="preserve">Libro de caja </t>
    </r>
    <r>
      <rPr>
        <b/>
        <sz val="10"/>
        <color theme="1"/>
        <rFont val="Tahoma"/>
        <family val="2"/>
      </rPr>
      <t>(Realizados desde junio 2023 a la fecha)</t>
    </r>
  </si>
  <si>
    <r>
      <t xml:space="preserve">Formularios fallas de caja </t>
    </r>
    <r>
      <rPr>
        <b/>
        <sz val="10"/>
        <color theme="1"/>
        <rFont val="Tahoma"/>
        <family val="2"/>
      </rPr>
      <t>(Realizados desde junio 2023 a la fecha)</t>
    </r>
  </si>
  <si>
    <r>
      <t xml:space="preserve">Recibos de cobranza Oficiales de Servicios Financieros y Recibo de cobranza  (contingencias-operaciones) </t>
    </r>
    <r>
      <rPr>
        <b/>
        <sz val="10"/>
        <color theme="1"/>
        <rFont val="Tahoma"/>
        <family val="2"/>
      </rPr>
      <t>(emitidos desde junio 2023 a la fecha)</t>
    </r>
  </si>
  <si>
    <r>
      <t xml:space="preserve">Documentos que respalde el cambio de clave de la caja fuerte buzón, </t>
    </r>
    <r>
      <rPr>
        <b/>
        <sz val="10"/>
        <color theme="1"/>
        <rFont val="Tahoma"/>
        <family val="2"/>
      </rPr>
      <t>(2 últimos cambios)</t>
    </r>
  </si>
  <si>
    <r>
      <t xml:space="preserve">Archivador de palanca con los Certificados de Depósito a Plazo Fijo cancelados </t>
    </r>
    <r>
      <rPr>
        <b/>
        <sz val="10"/>
        <color theme="1"/>
        <rFont val="Tahoma"/>
        <family val="2"/>
      </rPr>
      <t>(Cancelados desde junio 2023 a la fecha)</t>
    </r>
  </si>
  <si>
    <t>Marca</t>
  </si>
  <si>
    <t>Significado</t>
  </si>
  <si>
    <t>√</t>
  </si>
  <si>
    <t>Cotejado ……</t>
  </si>
  <si>
    <t>]</t>
  </si>
  <si>
    <t>Verificado, revisado</t>
  </si>
  <si>
    <t>₺</t>
  </si>
  <si>
    <t>Documentación sustentaría</t>
  </si>
  <si>
    <t>∏</t>
  </si>
  <si>
    <t>Verificado con libros</t>
  </si>
  <si>
    <t>∑</t>
  </si>
  <si>
    <t xml:space="preserve">Sumatoria </t>
  </si>
  <si>
    <t>€</t>
  </si>
  <si>
    <t>Cálculo verificado</t>
  </si>
  <si>
    <t>?</t>
  </si>
  <si>
    <t>Pendiente de registro</t>
  </si>
  <si>
    <t>µ</t>
  </si>
  <si>
    <t>Solicitud de confirmación enviada</t>
  </si>
  <si>
    <t>◊</t>
  </si>
  <si>
    <t>Circularizado</t>
  </si>
  <si>
    <t>ø</t>
  </si>
  <si>
    <t xml:space="preserve">Inspección física </t>
  </si>
  <si>
    <t>₸</t>
  </si>
  <si>
    <t>Conciliado</t>
  </si>
  <si>
    <t>ẽ</t>
  </si>
  <si>
    <t xml:space="preserve">Observación superada durante la revisión </t>
  </si>
  <si>
    <t>α</t>
  </si>
  <si>
    <t>Debatido</t>
  </si>
  <si>
    <t>INSITU-OFICIALES</t>
  </si>
  <si>
    <t>INSITU-OFICIALES-OP-JEFE</t>
  </si>
  <si>
    <t>INSITU-VEHÍCULO</t>
  </si>
  <si>
    <t>INSITU-BOVEDA - DOCUMENTACIÓN</t>
  </si>
  <si>
    <t>INSITU-OP-JEFE</t>
  </si>
  <si>
    <t>Juan Pablo Teran Rojas</t>
  </si>
  <si>
    <t>ʘ</t>
  </si>
  <si>
    <t>De la revisión a la documentación del cambio de clave de la caja fuerte tipo buzón, observamos que la clave fue cambiada en un periodo mayor a 6 meses, según lo siguiente: 
Cambio 1: fecha 22/06/2023
Siguiente Cambio: fecha 03/01/2024</t>
  </si>
  <si>
    <t>De la revisión a los arqueos de bóveda y caja chica por parte del jefe de agencia periodo comprendido entre junio 2023 a marzo 2024, de los 20 arqueos realizados a bóveda y caja chica respectivamente, 18 de esos arqueos fueron realizado después de fecha 15 de cada mes, repitiendo la rutina en ese periodo, la cual incumple la calidad de “sorpresa” y debilitando el control interno.</t>
  </si>
  <si>
    <t>Vanesa Soliz, Roxemberg Gomez, Jhon Mollo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</si>
</sst>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dd/mm/yyyy;@"/>
    <numFmt numFmtId="166" formatCode="&quot;Límite excedido en mueble de cajas con: Bs&quot;#,##0.00"/>
    <numFmt numFmtId="167" formatCode="&quot;Límite mayor a los Bs100.000.- excedido con: Bs&quot;#,##0.00"/>
  </numFmts>
  <fonts count="67"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Tahoma"/>
      <family val="2"/>
    </font>
    <font>
      <b/>
      <sz val="10"/>
      <color theme="1"/>
      <name val="Tahoma"/>
      <family val="2"/>
    </font>
    <font>
      <sz val="10"/>
      <name val="Arial"/>
      <family val="2"/>
    </font>
    <font>
      <sz val="11"/>
      <color theme="1"/>
      <name val="Arial"/>
      <family val="2"/>
    </font>
    <font>
      <sz val="8"/>
      <name val="Times New Roman"/>
      <family val="1"/>
    </font>
    <font>
      <b/>
      <sz val="10"/>
      <name val="Tahoma"/>
      <family val="2"/>
    </font>
    <font>
      <sz val="10"/>
      <name val="Tahoma"/>
      <family val="2"/>
    </font>
    <font>
      <i/>
      <sz val="10"/>
      <color theme="1"/>
      <name val="Tahoma"/>
      <family val="2"/>
    </font>
    <font>
      <b/>
      <i/>
      <sz val="10"/>
      <color theme="1"/>
      <name val="Tahoma"/>
      <family val="2"/>
    </font>
    <font>
      <i/>
      <sz val="10"/>
      <name val="Tahoma"/>
      <family val="2"/>
    </font>
    <font>
      <b/>
      <i/>
      <sz val="10"/>
      <name val="Tahoma"/>
      <family val="2"/>
    </font>
    <font>
      <sz val="10"/>
      <color indexed="8"/>
      <name val="Tahoma"/>
      <family val="2"/>
    </font>
    <font>
      <sz val="12"/>
      <color theme="1"/>
      <name val="Calibri"/>
      <family val="2"/>
    </font>
    <font>
      <sz val="10"/>
      <color rgb="FF000000"/>
      <name val="Tahoma"/>
      <family val="2"/>
    </font>
    <font>
      <b/>
      <sz val="10"/>
      <color rgb="FF000000"/>
      <name val="Tahoma"/>
      <family val="2"/>
    </font>
    <font>
      <i/>
      <sz val="10"/>
      <color rgb="FF000000"/>
      <name val="Tahoma"/>
      <family val="2"/>
    </font>
    <font>
      <sz val="10"/>
      <color rgb="FFFF0000"/>
      <name val="Tahoma"/>
      <family val="2"/>
    </font>
    <font>
      <b/>
      <sz val="12"/>
      <color rgb="FF000000"/>
      <name val="Tahoma"/>
      <family val="2"/>
    </font>
    <font>
      <sz val="8"/>
      <name val="Tahoma"/>
      <family val="2"/>
    </font>
    <font>
      <b/>
      <sz val="12"/>
      <name val="Tahoma"/>
      <family val="2"/>
    </font>
    <font>
      <b/>
      <sz val="11"/>
      <name val="Tahoma"/>
      <family val="2"/>
    </font>
    <font>
      <sz val="11"/>
      <name val="Tahoma"/>
      <family val="2"/>
    </font>
    <font>
      <b/>
      <sz val="14"/>
      <name val="Tahoma"/>
      <family val="2"/>
    </font>
    <font>
      <b/>
      <sz val="9"/>
      <name val="Tahoma"/>
      <family val="2"/>
    </font>
    <font>
      <sz val="9"/>
      <name val="Tahoma"/>
      <family val="2"/>
    </font>
    <font>
      <b/>
      <sz val="8"/>
      <name val="Tahoma"/>
      <family val="2"/>
    </font>
    <font>
      <b/>
      <u/>
      <sz val="8"/>
      <name val="Tahoma"/>
      <family val="2"/>
    </font>
    <font>
      <b/>
      <sz val="12"/>
      <color theme="1"/>
      <name val="Calibri"/>
      <family val="2"/>
      <scheme val="minor"/>
    </font>
    <font>
      <b/>
      <sz val="18"/>
      <color theme="1"/>
      <name val="Arial"/>
      <family val="2"/>
    </font>
    <font>
      <b/>
      <sz val="8"/>
      <color theme="1"/>
      <name val="Tahoma"/>
      <family val="2"/>
    </font>
    <font>
      <sz val="8"/>
      <color theme="1"/>
      <name val="Calibri"/>
      <family val="2"/>
      <scheme val="minor"/>
    </font>
    <font>
      <b/>
      <sz val="7"/>
      <color theme="1"/>
      <name val="Tahoma"/>
      <family val="2"/>
    </font>
    <font>
      <sz val="12"/>
      <color theme="1"/>
      <name val="Arial"/>
      <family val="2"/>
    </font>
    <font>
      <b/>
      <sz val="12"/>
      <color theme="1"/>
      <name val="Arial"/>
      <family val="2"/>
    </font>
    <font>
      <sz val="8"/>
      <color theme="1"/>
      <name val="Tahoma"/>
      <family val="2"/>
    </font>
    <font>
      <b/>
      <sz val="10.5"/>
      <color theme="1"/>
      <name val="Tahoma"/>
      <family val="2"/>
    </font>
    <font>
      <sz val="10.5"/>
      <color theme="1"/>
      <name val="Tahoma"/>
      <family val="2"/>
    </font>
    <font>
      <b/>
      <sz val="7"/>
      <name val="Tahoma"/>
      <family val="2"/>
    </font>
    <font>
      <b/>
      <sz val="8"/>
      <color theme="1"/>
      <name val="Arial"/>
      <family val="2"/>
    </font>
    <font>
      <b/>
      <u/>
      <sz val="10"/>
      <color theme="1"/>
      <name val="Tahoma"/>
      <family val="2"/>
    </font>
    <font>
      <sz val="7"/>
      <color theme="1"/>
      <name val="Tahoma"/>
      <family val="2"/>
    </font>
    <font>
      <sz val="22"/>
      <color theme="1"/>
      <name val="Wingdings 2"/>
      <family val="1"/>
      <charset val="2"/>
    </font>
    <font>
      <sz val="18"/>
      <color theme="1"/>
      <name val="Calibri"/>
      <family val="2"/>
      <scheme val="minor"/>
    </font>
    <font>
      <b/>
      <sz val="9"/>
      <color theme="1"/>
      <name val="Tahoma"/>
      <family val="2"/>
    </font>
    <font>
      <b/>
      <sz val="7"/>
      <color rgb="FFFFFFFF"/>
      <name val="Arial"/>
      <family val="2"/>
    </font>
    <font>
      <b/>
      <sz val="7"/>
      <name val="Arial"/>
      <family val="2"/>
    </font>
    <font>
      <sz val="7"/>
      <color rgb="FF000000"/>
      <name val="Arial"/>
      <family val="2"/>
    </font>
    <font>
      <sz val="7"/>
      <name val="Calibri"/>
      <family val="2"/>
      <scheme val="minor"/>
    </font>
    <font>
      <sz val="7"/>
      <color theme="1"/>
      <name val="Arial"/>
      <family val="2"/>
    </font>
    <font>
      <sz val="18"/>
      <name val="Calibri"/>
      <family val="2"/>
      <scheme val="minor"/>
    </font>
    <font>
      <b/>
      <sz val="11"/>
      <color theme="1"/>
      <name val="Calibri"/>
      <family val="2"/>
      <scheme val="minor"/>
    </font>
    <font>
      <b/>
      <sz val="10.5"/>
      <color rgb="FF000000"/>
      <name val="Tahoma"/>
      <family val="2"/>
    </font>
    <font>
      <sz val="14"/>
      <color theme="1"/>
      <name val="Tahoma"/>
      <family val="2"/>
    </font>
    <font>
      <sz val="10.5"/>
      <color rgb="FF000000"/>
      <name val="Tahoma"/>
      <family val="2"/>
    </font>
  </fonts>
  <fills count="1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0070C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4F6228"/>
        <bgColor indexed="64"/>
      </patternFill>
    </fill>
    <fill>
      <patternFill patternType="solid">
        <fgColor theme="9" tint="-0.249977111117893"/>
        <bgColor indexed="64"/>
      </patternFill>
    </fill>
    <fill>
      <patternFill patternType="solid">
        <fgColor rgb="FFFFFFFF"/>
        <bgColor indexed="64"/>
      </patternFill>
    </fill>
    <fill>
      <patternFill patternType="solid">
        <fgColor theme="2" tint="-0.249977111117893"/>
        <bgColor indexed="64"/>
      </patternFill>
    </fill>
  </fills>
  <borders count="6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double">
        <color indexed="64"/>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style="double">
        <color indexed="64"/>
      </bottom>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top style="dashed">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bottom style="dashed">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dashed">
        <color indexed="64"/>
      </top>
      <bottom style="dashed">
        <color indexed="64"/>
      </bottom>
      <diagonal/>
    </border>
    <border>
      <left style="medium">
        <color indexed="64"/>
      </left>
      <right style="thin">
        <color indexed="64"/>
      </right>
      <top style="dashed">
        <color indexed="64"/>
      </top>
      <bottom style="thin">
        <color indexed="64"/>
      </bottom>
      <diagonal/>
    </border>
    <border>
      <left style="medium">
        <color indexed="64"/>
      </left>
      <right style="thin">
        <color indexed="64"/>
      </right>
      <top style="thin">
        <color indexed="64"/>
      </top>
      <bottom style="dashed">
        <color indexed="64"/>
      </bottom>
      <diagonal/>
    </border>
    <border>
      <left style="thin">
        <color indexed="64"/>
      </left>
      <right/>
      <top/>
      <bottom style="dashed">
        <color indexed="64"/>
      </bottom>
      <diagonal/>
    </border>
    <border>
      <left style="medium">
        <color indexed="64"/>
      </left>
      <right/>
      <top/>
      <bottom/>
      <diagonal/>
    </border>
    <border>
      <left/>
      <right style="thin">
        <color indexed="64"/>
      </right>
      <top style="thin">
        <color indexed="64"/>
      </top>
      <bottom style="dashed">
        <color indexed="64"/>
      </bottom>
      <diagonal/>
    </border>
    <border>
      <left/>
      <right style="thin">
        <color indexed="64"/>
      </right>
      <top style="dashed">
        <color indexed="64"/>
      </top>
      <bottom style="dashed">
        <color indexed="64"/>
      </bottom>
      <diagonal/>
    </border>
    <border>
      <left/>
      <right style="thin">
        <color indexed="64"/>
      </right>
      <top style="dashed">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2">
    <xf numFmtId="0" fontId="0" fillId="0" borderId="0"/>
    <xf numFmtId="0" fontId="12" fillId="0" borderId="0"/>
    <xf numFmtId="0" fontId="11" fillId="0" borderId="0"/>
    <xf numFmtId="0" fontId="11" fillId="0" borderId="0"/>
    <xf numFmtId="0" fontId="13" fillId="0" borderId="0"/>
    <xf numFmtId="0" fontId="13" fillId="0" borderId="0"/>
    <xf numFmtId="0" fontId="15" fillId="0" borderId="0"/>
    <xf numFmtId="0" fontId="16" fillId="0" borderId="0"/>
    <xf numFmtId="0" fontId="17" fillId="0" borderId="0"/>
    <xf numFmtId="164" fontId="17" fillId="0" borderId="0" applyFont="0" applyFill="0" applyBorder="0" applyAlignment="0" applyProtection="0"/>
    <xf numFmtId="0" fontId="10" fillId="0" borderId="0"/>
    <xf numFmtId="0" fontId="15" fillId="0" borderId="0"/>
    <xf numFmtId="0" fontId="9" fillId="0" borderId="0"/>
    <xf numFmtId="0" fontId="8" fillId="0" borderId="0"/>
    <xf numFmtId="0" fontId="7" fillId="0" borderId="0"/>
    <xf numFmtId="0" fontId="7" fillId="0" borderId="0"/>
    <xf numFmtId="0" fontId="6" fillId="0" borderId="0"/>
    <xf numFmtId="0" fontId="5" fillId="0" borderId="0"/>
    <xf numFmtId="0" fontId="5" fillId="0" borderId="0"/>
    <xf numFmtId="0" fontId="4" fillId="0" borderId="0"/>
    <xf numFmtId="0" fontId="3" fillId="0" borderId="0"/>
    <xf numFmtId="0" fontId="2" fillId="0" borderId="0"/>
  </cellStyleXfs>
  <cellXfs count="416">
    <xf numFmtId="0" fontId="0" fillId="0" borderId="0" xfId="0"/>
    <xf numFmtId="0" fontId="13" fillId="0" borderId="0" xfId="0" applyFont="1" applyAlignment="1">
      <alignment vertical="center" wrapText="1"/>
    </xf>
    <xf numFmtId="0" fontId="13" fillId="0" borderId="0" xfId="0" applyFont="1" applyAlignment="1">
      <alignment vertical="center"/>
    </xf>
    <xf numFmtId="49" fontId="19" fillId="0" borderId="2" xfId="0" applyNumberFormat="1" applyFont="1" applyBorder="1" applyAlignment="1">
      <alignment vertical="center" wrapText="1" shrinkToFit="1"/>
    </xf>
    <xf numFmtId="0" fontId="13" fillId="0" borderId="2" xfId="0" applyFont="1" applyBorder="1" applyAlignment="1">
      <alignment vertical="center" wrapText="1"/>
    </xf>
    <xf numFmtId="0" fontId="13" fillId="0" borderId="2" xfId="0" applyFont="1" applyBorder="1" applyAlignment="1">
      <alignment horizontal="left" vertical="center" wrapText="1"/>
    </xf>
    <xf numFmtId="0" fontId="13" fillId="0" borderId="2" xfId="0" applyFont="1" applyBorder="1" applyAlignment="1">
      <alignment horizontal="center" vertical="center"/>
    </xf>
    <xf numFmtId="0" fontId="14" fillId="0" borderId="0" xfId="0" applyFont="1" applyAlignment="1">
      <alignment horizontal="left" vertical="center" wrapText="1"/>
    </xf>
    <xf numFmtId="0" fontId="13" fillId="0" borderId="2" xfId="0" applyFont="1" applyBorder="1" applyAlignment="1">
      <alignment horizontal="center" vertical="center" wrapText="1"/>
    </xf>
    <xf numFmtId="165" fontId="14" fillId="0" borderId="0" xfId="0" applyNumberFormat="1" applyFont="1" applyAlignment="1">
      <alignment horizontal="left" vertical="center" wrapText="1"/>
    </xf>
    <xf numFmtId="0" fontId="13" fillId="0" borderId="0" xfId="0" applyFont="1" applyAlignment="1">
      <alignment horizontal="center" vertical="center" wrapText="1"/>
    </xf>
    <xf numFmtId="49" fontId="19" fillId="0" borderId="2" xfId="0" applyNumberFormat="1" applyFont="1" applyBorder="1" applyAlignment="1">
      <alignment horizontal="left" vertical="center" wrapText="1" shrinkToFit="1"/>
    </xf>
    <xf numFmtId="0" fontId="19" fillId="0" borderId="2" xfId="0" applyFont="1" applyBorder="1" applyAlignment="1">
      <alignment horizontal="left" vertical="center" wrapText="1"/>
    </xf>
    <xf numFmtId="0" fontId="13" fillId="0" borderId="0" xfId="0" applyFont="1" applyAlignment="1">
      <alignment horizontal="left" vertical="center" wrapText="1"/>
    </xf>
    <xf numFmtId="0" fontId="13" fillId="0" borderId="0" xfId="0" applyFont="1" applyAlignment="1">
      <alignment horizontal="left" vertical="center"/>
    </xf>
    <xf numFmtId="49" fontId="19" fillId="2" borderId="2" xfId="0" applyNumberFormat="1" applyFont="1" applyFill="1" applyBorder="1" applyAlignment="1">
      <alignment horizontal="left" vertical="center" wrapText="1" shrinkToFit="1"/>
    </xf>
    <xf numFmtId="0" fontId="14" fillId="0" borderId="0" xfId="0" applyFont="1" applyAlignment="1">
      <alignment horizontal="center" vertical="center" wrapText="1"/>
    </xf>
    <xf numFmtId="0" fontId="14" fillId="0" borderId="2" xfId="0" applyFont="1" applyBorder="1" applyAlignment="1">
      <alignment horizontal="center" vertical="center" wrapText="1"/>
    </xf>
    <xf numFmtId="0" fontId="13" fillId="0" borderId="2" xfId="0" applyFont="1" applyBorder="1" applyAlignment="1">
      <alignment vertical="top" wrapText="1"/>
    </xf>
    <xf numFmtId="49" fontId="19" fillId="0" borderId="2" xfId="0" applyNumberFormat="1" applyFont="1" applyBorder="1" applyAlignment="1">
      <alignment vertical="top" wrapText="1" shrinkToFit="1"/>
    </xf>
    <xf numFmtId="49" fontId="19" fillId="0" borderId="5" xfId="0" applyNumberFormat="1" applyFont="1" applyBorder="1" applyAlignment="1">
      <alignment horizontal="left" vertical="top" wrapText="1" shrinkToFit="1"/>
    </xf>
    <xf numFmtId="0" fontId="14" fillId="0" borderId="0" xfId="0" applyFont="1" applyAlignment="1">
      <alignment horizontal="left" vertical="top" wrapText="1"/>
    </xf>
    <xf numFmtId="49" fontId="19" fillId="2" borderId="5" xfId="0" applyNumberFormat="1" applyFont="1" applyFill="1" applyBorder="1" applyAlignment="1">
      <alignment horizontal="left" vertical="top" wrapText="1" shrinkToFit="1"/>
    </xf>
    <xf numFmtId="0" fontId="13" fillId="0" borderId="0" xfId="0" applyFont="1" applyAlignment="1">
      <alignment horizontal="left" vertical="top" wrapText="1"/>
    </xf>
    <xf numFmtId="0" fontId="13" fillId="0" borderId="2" xfId="0" applyFont="1" applyBorder="1" applyAlignment="1">
      <alignment horizontal="left" vertical="top" wrapText="1"/>
    </xf>
    <xf numFmtId="0" fontId="13" fillId="0" borderId="2" xfId="0" applyFont="1" applyBorder="1" applyAlignment="1">
      <alignment horizontal="left" vertical="top"/>
    </xf>
    <xf numFmtId="0" fontId="13" fillId="0" borderId="0" xfId="0" applyFont="1" applyAlignment="1">
      <alignment wrapText="1"/>
    </xf>
    <xf numFmtId="49" fontId="19" fillId="3" borderId="2" xfId="0" applyNumberFormat="1" applyFont="1" applyFill="1" applyBorder="1" applyAlignment="1">
      <alignment horizontal="left" vertical="center" wrapText="1" shrinkToFit="1"/>
    </xf>
    <xf numFmtId="0" fontId="13" fillId="0" borderId="2" xfId="0" applyFont="1" applyBorder="1" applyAlignment="1">
      <alignment horizontal="justify" vertical="top" wrapText="1"/>
    </xf>
    <xf numFmtId="1" fontId="14" fillId="0" borderId="0" xfId="0" applyNumberFormat="1" applyFont="1" applyAlignment="1">
      <alignment horizontal="left" vertical="center"/>
    </xf>
    <xf numFmtId="0" fontId="13" fillId="0" borderId="2" xfId="0" applyFont="1" applyBorder="1" applyAlignment="1">
      <alignment horizontal="left" vertical="center"/>
    </xf>
    <xf numFmtId="165" fontId="14" fillId="0" borderId="0" xfId="0" applyNumberFormat="1" applyFont="1" applyAlignment="1">
      <alignment vertical="center"/>
    </xf>
    <xf numFmtId="0" fontId="13" fillId="0" borderId="0" xfId="0" applyFont="1"/>
    <xf numFmtId="0" fontId="13" fillId="2" borderId="0" xfId="0" applyFont="1" applyFill="1"/>
    <xf numFmtId="0" fontId="13" fillId="3" borderId="2" xfId="0" applyFont="1" applyFill="1" applyBorder="1" applyAlignment="1">
      <alignment horizontal="center" vertical="center" wrapText="1"/>
    </xf>
    <xf numFmtId="0" fontId="13" fillId="3" borderId="2" xfId="0" applyFont="1" applyFill="1" applyBorder="1" applyAlignment="1">
      <alignment horizontal="left" vertical="center" wrapText="1"/>
    </xf>
    <xf numFmtId="49" fontId="19" fillId="0" borderId="2" xfId="0" applyNumberFormat="1" applyFont="1" applyBorder="1" applyAlignment="1">
      <alignment horizontal="left" vertical="center" wrapText="1" readingOrder="1"/>
    </xf>
    <xf numFmtId="49" fontId="19" fillId="0" borderId="2" xfId="0" applyNumberFormat="1" applyFont="1" applyBorder="1" applyAlignment="1">
      <alignment horizontal="left" vertical="top" wrapText="1" readingOrder="1"/>
    </xf>
    <xf numFmtId="49" fontId="13" fillId="0" borderId="2" xfId="0" applyNumberFormat="1" applyFont="1" applyBorder="1" applyAlignment="1">
      <alignment vertical="center" readingOrder="1"/>
    </xf>
    <xf numFmtId="0" fontId="25" fillId="0" borderId="2" xfId="0" applyFont="1" applyBorder="1" applyAlignment="1">
      <alignment horizontal="justify" vertical="center"/>
    </xf>
    <xf numFmtId="0" fontId="14" fillId="0" borderId="0" xfId="0" applyFont="1" applyAlignment="1">
      <alignment vertical="center"/>
    </xf>
    <xf numFmtId="0" fontId="13" fillId="0" borderId="0" xfId="16" applyFont="1" applyAlignment="1">
      <alignment vertical="center"/>
    </xf>
    <xf numFmtId="14" fontId="13" fillId="0" borderId="0" xfId="16" applyNumberFormat="1" applyFont="1" applyAlignment="1">
      <alignment horizontal="left" vertical="center"/>
    </xf>
    <xf numFmtId="0" fontId="13" fillId="0" borderId="0" xfId="16" applyFont="1" applyAlignment="1">
      <alignment horizontal="left" vertical="center"/>
    </xf>
    <xf numFmtId="0" fontId="14" fillId="0" borderId="0" xfId="16" applyFont="1" applyAlignment="1">
      <alignment horizontal="left" vertical="center"/>
    </xf>
    <xf numFmtId="0" fontId="13" fillId="0" borderId="0" xfId="16" applyFont="1" applyAlignment="1">
      <alignment horizontal="center" vertical="center"/>
    </xf>
    <xf numFmtId="0" fontId="13" fillId="0" borderId="0" xfId="16" applyFont="1" applyAlignment="1">
      <alignment horizontal="left" vertical="top"/>
    </xf>
    <xf numFmtId="49" fontId="19" fillId="0" borderId="0" xfId="0" applyNumberFormat="1" applyFont="1" applyAlignment="1">
      <alignment horizontal="left" vertical="top" wrapText="1" shrinkToFit="1"/>
    </xf>
    <xf numFmtId="2" fontId="13" fillId="0" borderId="0" xfId="16" applyNumberFormat="1" applyFont="1" applyAlignment="1">
      <alignment horizontal="left" vertical="top"/>
    </xf>
    <xf numFmtId="2" fontId="13" fillId="0" borderId="0" xfId="16" applyNumberFormat="1" applyFont="1" applyAlignment="1">
      <alignment horizontal="left" vertical="center"/>
    </xf>
    <xf numFmtId="2" fontId="13" fillId="0" borderId="0" xfId="16" applyNumberFormat="1" applyFont="1" applyAlignment="1">
      <alignment vertical="center"/>
    </xf>
    <xf numFmtId="165" fontId="13" fillId="0" borderId="0" xfId="0" applyNumberFormat="1" applyFont="1" applyAlignment="1">
      <alignment horizontal="center" vertical="center"/>
    </xf>
    <xf numFmtId="0" fontId="13" fillId="0" borderId="0" xfId="0" applyFont="1" applyAlignment="1">
      <alignment horizontal="left" vertical="center" indent="3"/>
    </xf>
    <xf numFmtId="0" fontId="14" fillId="0" borderId="0" xfId="0" applyFont="1"/>
    <xf numFmtId="0" fontId="14" fillId="0" borderId="0" xfId="0" applyFont="1" applyAlignment="1">
      <alignment wrapText="1"/>
    </xf>
    <xf numFmtId="0" fontId="13" fillId="0" borderId="2" xfId="0" applyFont="1" applyBorder="1" applyAlignment="1">
      <alignment horizontal="center" vertical="center" readingOrder="1"/>
    </xf>
    <xf numFmtId="0" fontId="13" fillId="0" borderId="2" xfId="0" applyFont="1" applyBorder="1" applyAlignment="1">
      <alignment horizontal="left" vertical="center" readingOrder="1"/>
    </xf>
    <xf numFmtId="0" fontId="13" fillId="0" borderId="2" xfId="0" applyFont="1" applyBorder="1" applyAlignment="1">
      <alignment wrapText="1"/>
    </xf>
    <xf numFmtId="0" fontId="13" fillId="0" borderId="2" xfId="0" applyFont="1" applyBorder="1" applyAlignment="1">
      <alignment vertical="center" readingOrder="1"/>
    </xf>
    <xf numFmtId="0" fontId="13" fillId="0" borderId="0" xfId="0" applyFont="1" applyAlignment="1">
      <alignment horizontal="left" wrapText="1"/>
    </xf>
    <xf numFmtId="0" fontId="14" fillId="0" borderId="0" xfId="0" applyFont="1" applyAlignment="1">
      <alignment vertical="top"/>
    </xf>
    <xf numFmtId="0" fontId="14" fillId="0" borderId="0" xfId="0" applyFont="1" applyAlignment="1">
      <alignment vertical="top" wrapText="1"/>
    </xf>
    <xf numFmtId="0" fontId="31" fillId="0" borderId="6" xfId="8" applyFont="1" applyBorder="1"/>
    <xf numFmtId="0" fontId="32" fillId="0" borderId="7" xfId="8" applyFont="1" applyBorder="1" applyAlignment="1">
      <alignment horizontal="centerContinuous"/>
    </xf>
    <xf numFmtId="0" fontId="31" fillId="0" borderId="7" xfId="8" applyFont="1" applyBorder="1" applyAlignment="1">
      <alignment horizontal="centerContinuous"/>
    </xf>
    <xf numFmtId="0" fontId="31" fillId="0" borderId="8" xfId="8" applyFont="1" applyBorder="1" applyAlignment="1">
      <alignment horizontal="centerContinuous"/>
    </xf>
    <xf numFmtId="0" fontId="31" fillId="0" borderId="0" xfId="8" applyFont="1"/>
    <xf numFmtId="0" fontId="31" fillId="0" borderId="9" xfId="8" applyFont="1" applyBorder="1"/>
    <xf numFmtId="0" fontId="33" fillId="0" borderId="0" xfId="8" applyFont="1" applyAlignment="1">
      <alignment vertical="center" readingOrder="1"/>
    </xf>
    <xf numFmtId="0" fontId="31" fillId="0" borderId="0" xfId="8" applyFont="1" applyAlignment="1">
      <alignment horizontal="centerContinuous"/>
    </xf>
    <xf numFmtId="0" fontId="31" fillId="0" borderId="10" xfId="8" applyFont="1" applyBorder="1" applyAlignment="1">
      <alignment horizontal="centerContinuous"/>
    </xf>
    <xf numFmtId="0" fontId="35" fillId="0" borderId="0" xfId="8" applyFont="1" applyAlignment="1">
      <alignment horizontal="centerContinuous"/>
    </xf>
    <xf numFmtId="0" fontId="36" fillId="0" borderId="0" xfId="8" applyFont="1"/>
    <xf numFmtId="0" fontId="38" fillId="0" borderId="0" xfId="8" applyFont="1"/>
    <xf numFmtId="0" fontId="38" fillId="0" borderId="10" xfId="8" applyFont="1" applyBorder="1"/>
    <xf numFmtId="0" fontId="31" fillId="0" borderId="10" xfId="8" applyFont="1" applyBorder="1"/>
    <xf numFmtId="0" fontId="31" fillId="0" borderId="12" xfId="8" applyFont="1" applyBorder="1"/>
    <xf numFmtId="0" fontId="31" fillId="0" borderId="13" xfId="8" applyFont="1" applyBorder="1"/>
    <xf numFmtId="0" fontId="31" fillId="0" borderId="14" xfId="8" applyFont="1" applyBorder="1"/>
    <xf numFmtId="0" fontId="38" fillId="0" borderId="15" xfId="8" applyFont="1" applyBorder="1" applyAlignment="1">
      <alignment horizontal="centerContinuous"/>
    </xf>
    <xf numFmtId="0" fontId="38" fillId="0" borderId="0" xfId="8" applyFont="1" applyAlignment="1">
      <alignment horizontal="centerContinuous"/>
    </xf>
    <xf numFmtId="0" fontId="31" fillId="0" borderId="15" xfId="8" applyFont="1" applyBorder="1"/>
    <xf numFmtId="0" fontId="31" fillId="0" borderId="16" xfId="8" applyFont="1" applyBorder="1"/>
    <xf numFmtId="0" fontId="38" fillId="0" borderId="1" xfId="8" applyFont="1" applyBorder="1" applyAlignment="1">
      <alignment horizontal="centerContinuous"/>
    </xf>
    <xf numFmtId="0" fontId="31" fillId="0" borderId="1" xfId="8" applyFont="1" applyBorder="1" applyAlignment="1">
      <alignment horizontal="centerContinuous"/>
    </xf>
    <xf numFmtId="0" fontId="38" fillId="0" borderId="0" xfId="8" applyFont="1" applyAlignment="1">
      <alignment horizontal="center"/>
    </xf>
    <xf numFmtId="0" fontId="38" fillId="0" borderId="16" xfId="8" applyFont="1" applyBorder="1" applyAlignment="1">
      <alignment horizontal="center"/>
    </xf>
    <xf numFmtId="4" fontId="31" fillId="0" borderId="0" xfId="8" applyNumberFormat="1" applyFont="1"/>
    <xf numFmtId="4" fontId="31" fillId="0" borderId="15" xfId="8" applyNumberFormat="1" applyFont="1" applyBorder="1"/>
    <xf numFmtId="0" fontId="31" fillId="0" borderId="11" xfId="8" applyFont="1" applyBorder="1" applyAlignment="1">
      <alignment horizontal="center" vertical="center"/>
    </xf>
    <xf numFmtId="4" fontId="31" fillId="0" borderId="11" xfId="8" applyNumberFormat="1" applyFont="1" applyBorder="1" applyAlignment="1">
      <alignment horizontal="right" vertical="center"/>
    </xf>
    <xf numFmtId="0" fontId="31" fillId="0" borderId="11" xfId="8" applyFont="1" applyBorder="1"/>
    <xf numFmtId="0" fontId="38" fillId="0" borderId="16" xfId="8" applyFont="1" applyBorder="1"/>
    <xf numFmtId="0" fontId="38" fillId="0" borderId="0" xfId="8" applyFont="1" applyAlignment="1">
      <alignment horizontal="right"/>
    </xf>
    <xf numFmtId="4" fontId="38" fillId="0" borderId="17" xfId="8" applyNumberFormat="1" applyFont="1" applyBorder="1" applyAlignment="1">
      <alignment horizontal="right" vertical="center"/>
    </xf>
    <xf numFmtId="0" fontId="31" fillId="0" borderId="18" xfId="8" applyFont="1" applyBorder="1"/>
    <xf numFmtId="0" fontId="31" fillId="0" borderId="19" xfId="8" applyFont="1" applyBorder="1"/>
    <xf numFmtId="0" fontId="38" fillId="0" borderId="20" xfId="8" applyFont="1" applyBorder="1"/>
    <xf numFmtId="0" fontId="31" fillId="0" borderId="20" xfId="8" applyFont="1" applyBorder="1"/>
    <xf numFmtId="0" fontId="38" fillId="0" borderId="20" xfId="8" applyFont="1" applyBorder="1" applyAlignment="1">
      <alignment horizontal="right"/>
    </xf>
    <xf numFmtId="0" fontId="31" fillId="0" borderId="21" xfId="8" applyFont="1" applyBorder="1"/>
    <xf numFmtId="0" fontId="31" fillId="0" borderId="22" xfId="8" applyFont="1" applyBorder="1"/>
    <xf numFmtId="4" fontId="38" fillId="0" borderId="1" xfId="8" applyNumberFormat="1" applyFont="1" applyBorder="1" applyAlignment="1">
      <alignment horizontal="centerContinuous"/>
    </xf>
    <xf numFmtId="4" fontId="38" fillId="0" borderId="0" xfId="8" applyNumberFormat="1" applyFont="1" applyAlignment="1">
      <alignment horizontal="centerContinuous"/>
    </xf>
    <xf numFmtId="0" fontId="38" fillId="0" borderId="15" xfId="8" applyFont="1" applyBorder="1"/>
    <xf numFmtId="0" fontId="38" fillId="0" borderId="15" xfId="8" applyFont="1" applyBorder="1" applyAlignment="1">
      <alignment horizontal="left"/>
    </xf>
    <xf numFmtId="0" fontId="38" fillId="0" borderId="0" xfId="8" applyFont="1" applyAlignment="1">
      <alignment horizontal="left"/>
    </xf>
    <xf numFmtId="0" fontId="38" fillId="0" borderId="11" xfId="8" applyFont="1" applyBorder="1"/>
    <xf numFmtId="0" fontId="31" fillId="0" borderId="23" xfId="8" applyFont="1" applyBorder="1"/>
    <xf numFmtId="0" fontId="31" fillId="0" borderId="1" xfId="8" applyFont="1" applyBorder="1"/>
    <xf numFmtId="0" fontId="31" fillId="0" borderId="24" xfId="8" applyFont="1" applyBorder="1"/>
    <xf numFmtId="0" fontId="39" fillId="0" borderId="0" xfId="8" applyFont="1"/>
    <xf numFmtId="0" fontId="38" fillId="0" borderId="3" xfId="8" applyFont="1" applyBorder="1"/>
    <xf numFmtId="0" fontId="31" fillId="0" borderId="4" xfId="8" applyFont="1" applyBorder="1"/>
    <xf numFmtId="0" fontId="38" fillId="0" borderId="4" xfId="8" applyFont="1" applyBorder="1"/>
    <xf numFmtId="0" fontId="31" fillId="0" borderId="5" xfId="8" applyFont="1" applyBorder="1"/>
    <xf numFmtId="0" fontId="31" fillId="0" borderId="25" xfId="8" applyFont="1" applyBorder="1"/>
    <xf numFmtId="0" fontId="31" fillId="0" borderId="17" xfId="8" applyFont="1" applyBorder="1"/>
    <xf numFmtId="164" fontId="31" fillId="0" borderId="17" xfId="9" applyFont="1" applyBorder="1"/>
    <xf numFmtId="0" fontId="38" fillId="0" borderId="4" xfId="8" applyFont="1" applyBorder="1" applyAlignment="1">
      <alignment horizontal="center"/>
    </xf>
    <xf numFmtId="0" fontId="31" fillId="0" borderId="0" xfId="8" applyFont="1" applyAlignment="1">
      <alignment horizontal="center"/>
    </xf>
    <xf numFmtId="0" fontId="31" fillId="0" borderId="0" xfId="8" applyFont="1" applyAlignment="1">
      <alignment horizontal="right"/>
    </xf>
    <xf numFmtId="4" fontId="38" fillId="0" borderId="11" xfId="8" applyNumberFormat="1" applyFont="1" applyBorder="1" applyAlignment="1">
      <alignment horizontal="right"/>
    </xf>
    <xf numFmtId="0" fontId="38" fillId="0" borderId="20" xfId="8" applyFont="1" applyBorder="1" applyAlignment="1">
      <alignment horizontal="centerContinuous"/>
    </xf>
    <xf numFmtId="0" fontId="31" fillId="0" borderId="15" xfId="8" applyFont="1" applyBorder="1" applyAlignment="1">
      <alignment horizontal="center"/>
    </xf>
    <xf numFmtId="14" fontId="31" fillId="0" borderId="0" xfId="8" applyNumberFormat="1" applyFont="1"/>
    <xf numFmtId="0" fontId="5" fillId="0" borderId="0" xfId="18"/>
    <xf numFmtId="0" fontId="42" fillId="0" borderId="2" xfId="18" applyFont="1" applyBorder="1" applyAlignment="1">
      <alignment horizontal="center" vertical="center" wrapText="1"/>
    </xf>
    <xf numFmtId="0" fontId="42" fillId="4" borderId="2" xfId="18" applyFont="1" applyFill="1" applyBorder="1" applyAlignment="1">
      <alignment horizontal="center" vertical="center" wrapText="1"/>
    </xf>
    <xf numFmtId="0" fontId="42" fillId="5" borderId="2" xfId="18" applyFont="1" applyFill="1" applyBorder="1" applyAlignment="1">
      <alignment horizontal="center" vertical="center" wrapText="1"/>
    </xf>
    <xf numFmtId="0" fontId="42" fillId="6" borderId="2" xfId="18" applyFont="1" applyFill="1" applyBorder="1" applyAlignment="1">
      <alignment horizontal="center" vertical="center" wrapText="1"/>
    </xf>
    <xf numFmtId="0" fontId="42" fillId="7" borderId="2" xfId="18" applyFont="1" applyFill="1" applyBorder="1" applyAlignment="1">
      <alignment horizontal="center" vertical="center" wrapText="1"/>
    </xf>
    <xf numFmtId="0" fontId="43" fillId="0" borderId="0" xfId="18" applyFont="1"/>
    <xf numFmtId="0" fontId="44" fillId="0" borderId="2" xfId="18" applyFont="1" applyBorder="1" applyAlignment="1">
      <alignment horizontal="left" vertical="center" wrapText="1"/>
    </xf>
    <xf numFmtId="0" fontId="45" fillId="0" borderId="2" xfId="18" applyFont="1" applyBorder="1" applyAlignment="1">
      <alignment horizontal="center" vertical="center"/>
    </xf>
    <xf numFmtId="0" fontId="46" fillId="0" borderId="2" xfId="18" applyFont="1" applyBorder="1" applyAlignment="1">
      <alignment horizontal="center" vertical="center"/>
    </xf>
    <xf numFmtId="0" fontId="46" fillId="8" borderId="2" xfId="18" applyFont="1" applyFill="1" applyBorder="1" applyAlignment="1">
      <alignment horizontal="center" vertical="center"/>
    </xf>
    <xf numFmtId="0" fontId="47" fillId="0" borderId="0" xfId="18" applyFont="1"/>
    <xf numFmtId="0" fontId="42" fillId="0" borderId="1" xfId="0" applyFont="1" applyBorder="1" applyAlignment="1">
      <alignment horizontal="left" vertical="center"/>
    </xf>
    <xf numFmtId="14" fontId="42" fillId="0" borderId="1" xfId="0" applyNumberFormat="1" applyFont="1" applyBorder="1" applyAlignment="1">
      <alignment horizontal="center" vertical="center"/>
    </xf>
    <xf numFmtId="0" fontId="50" fillId="0" borderId="2" xfId="8" applyFont="1" applyBorder="1" applyAlignment="1">
      <alignment horizontal="center"/>
    </xf>
    <xf numFmtId="0" fontId="50" fillId="0" borderId="3" xfId="8" applyFont="1" applyBorder="1" applyAlignment="1">
      <alignment horizontal="center"/>
    </xf>
    <xf numFmtId="0" fontId="31" fillId="0" borderId="37" xfId="8" applyFont="1" applyBorder="1"/>
    <xf numFmtId="4" fontId="31" fillId="0" borderId="37" xfId="8" applyNumberFormat="1" applyFont="1" applyBorder="1"/>
    <xf numFmtId="0" fontId="31" fillId="0" borderId="37" xfId="8" applyFont="1" applyBorder="1" applyAlignment="1">
      <alignment horizontal="center" vertical="center"/>
    </xf>
    <xf numFmtId="4" fontId="31" fillId="0" borderId="37" xfId="8" applyNumberFormat="1" applyFont="1" applyBorder="1" applyAlignment="1">
      <alignment horizontal="right" vertical="center"/>
    </xf>
    <xf numFmtId="0" fontId="31" fillId="0" borderId="36" xfId="8" applyFont="1" applyBorder="1"/>
    <xf numFmtId="4" fontId="31" fillId="0" borderId="36" xfId="8" applyNumberFormat="1" applyFont="1" applyBorder="1"/>
    <xf numFmtId="0" fontId="31" fillId="0" borderId="36" xfId="8" applyFont="1" applyBorder="1" applyAlignment="1">
      <alignment horizontal="center" vertical="center"/>
    </xf>
    <xf numFmtId="4" fontId="31" fillId="0" borderId="36" xfId="8" applyNumberFormat="1" applyFont="1" applyBorder="1" applyAlignment="1">
      <alignment horizontal="right" vertical="center"/>
    </xf>
    <xf numFmtId="4" fontId="42" fillId="0" borderId="2" xfId="0" applyNumberFormat="1" applyFont="1" applyBorder="1" applyAlignment="1">
      <alignment horizontal="right" vertical="center"/>
    </xf>
    <xf numFmtId="0" fontId="31" fillId="0" borderId="35" xfId="8" applyFont="1" applyBorder="1"/>
    <xf numFmtId="4" fontId="31" fillId="0" borderId="35" xfId="8" applyNumberFormat="1" applyFont="1" applyBorder="1"/>
    <xf numFmtId="0" fontId="31" fillId="0" borderId="35" xfId="8" applyFont="1" applyBorder="1" applyAlignment="1">
      <alignment horizontal="center" vertical="center"/>
    </xf>
    <xf numFmtId="4" fontId="31" fillId="0" borderId="35" xfId="8" applyNumberFormat="1" applyFont="1" applyBorder="1" applyAlignment="1">
      <alignment horizontal="right" vertical="center"/>
    </xf>
    <xf numFmtId="0" fontId="50" fillId="0" borderId="2" xfId="8" applyFont="1" applyBorder="1" applyAlignment="1">
      <alignment horizontal="center" vertical="center"/>
    </xf>
    <xf numFmtId="0" fontId="31" fillId="0" borderId="38" xfId="8" applyFont="1" applyBorder="1"/>
    <xf numFmtId="4" fontId="31" fillId="0" borderId="38" xfId="8" applyNumberFormat="1" applyFont="1" applyBorder="1"/>
    <xf numFmtId="0" fontId="31" fillId="0" borderId="38" xfId="8" applyFont="1" applyBorder="1" applyAlignment="1">
      <alignment horizontal="center" vertical="center"/>
    </xf>
    <xf numFmtId="4" fontId="31" fillId="0" borderId="38" xfId="8" applyNumberFormat="1" applyFont="1" applyBorder="1" applyAlignment="1">
      <alignment horizontal="right" vertical="center"/>
    </xf>
    <xf numFmtId="4" fontId="51" fillId="0" borderId="2" xfId="0" applyNumberFormat="1" applyFont="1" applyBorder="1" applyAlignment="1">
      <alignment horizontal="right" vertical="center"/>
    </xf>
    <xf numFmtId="4" fontId="42" fillId="8" borderId="2" xfId="0" applyNumberFormat="1" applyFont="1" applyFill="1" applyBorder="1" applyAlignment="1">
      <alignment horizontal="right" vertical="center"/>
    </xf>
    <xf numFmtId="4" fontId="31" fillId="0" borderId="32" xfId="8" applyNumberFormat="1" applyFont="1" applyBorder="1" applyAlignment="1">
      <alignment horizontal="right" vertical="center"/>
    </xf>
    <xf numFmtId="0" fontId="31" fillId="0" borderId="40" xfId="8" applyFont="1" applyBorder="1"/>
    <xf numFmtId="4" fontId="31" fillId="0" borderId="33" xfId="8" applyNumberFormat="1" applyFont="1" applyBorder="1" applyAlignment="1">
      <alignment horizontal="right" vertical="center"/>
    </xf>
    <xf numFmtId="0" fontId="31" fillId="0" borderId="41" xfId="8" applyFont="1" applyBorder="1"/>
    <xf numFmtId="4" fontId="42" fillId="0" borderId="3" xfId="0" applyNumberFormat="1" applyFont="1" applyBorder="1" applyAlignment="1">
      <alignment horizontal="right" vertical="center"/>
    </xf>
    <xf numFmtId="4" fontId="31" fillId="0" borderId="29" xfId="8" applyNumberFormat="1" applyFont="1" applyBorder="1" applyAlignment="1">
      <alignment horizontal="right" vertical="center"/>
    </xf>
    <xf numFmtId="0" fontId="31" fillId="0" borderId="42" xfId="8" applyFont="1" applyBorder="1"/>
    <xf numFmtId="0" fontId="50" fillId="0" borderId="3" xfId="8" applyFont="1" applyBorder="1" applyAlignment="1">
      <alignment horizontal="center" vertical="center"/>
    </xf>
    <xf numFmtId="4" fontId="31" fillId="0" borderId="43" xfId="8" applyNumberFormat="1" applyFont="1" applyBorder="1" applyAlignment="1">
      <alignment horizontal="right" vertical="center"/>
    </xf>
    <xf numFmtId="4" fontId="51" fillId="0" borderId="3" xfId="0" applyNumberFormat="1" applyFont="1" applyBorder="1" applyAlignment="1">
      <alignment horizontal="right" vertical="center"/>
    </xf>
    <xf numFmtId="49" fontId="19" fillId="0" borderId="2" xfId="0" applyNumberFormat="1" applyFont="1" applyBorder="1" applyAlignment="1">
      <alignment horizontal="left" vertical="top" wrapText="1" shrinkToFit="1"/>
    </xf>
    <xf numFmtId="0" fontId="31" fillId="0" borderId="11" xfId="8" applyFont="1" applyBorder="1" applyAlignment="1">
      <alignment horizontal="center"/>
    </xf>
    <xf numFmtId="1" fontId="19" fillId="0" borderId="2" xfId="0" applyNumberFormat="1" applyFont="1" applyBorder="1" applyAlignment="1">
      <alignment horizontal="center" vertical="center" wrapText="1"/>
    </xf>
    <xf numFmtId="1" fontId="13" fillId="0" borderId="0" xfId="0" applyNumberFormat="1" applyFont="1" applyAlignment="1">
      <alignment horizontal="left" vertical="center" wrapText="1"/>
    </xf>
    <xf numFmtId="49" fontId="19" fillId="0" borderId="2" xfId="0" applyNumberFormat="1" applyFont="1" applyBorder="1" applyAlignment="1">
      <alignment horizontal="center" vertical="center" readingOrder="1"/>
    </xf>
    <xf numFmtId="0" fontId="14" fillId="0" borderId="0" xfId="0" applyFont="1" applyAlignment="1">
      <alignment horizontal="left" vertical="center"/>
    </xf>
    <xf numFmtId="0" fontId="19" fillId="0" borderId="2" xfId="0" applyFont="1" applyBorder="1" applyAlignment="1">
      <alignment horizontal="center" vertical="center" wrapText="1"/>
    </xf>
    <xf numFmtId="49" fontId="18" fillId="0" borderId="3" xfId="0" applyNumberFormat="1" applyFont="1" applyBorder="1" applyAlignment="1">
      <alignment horizontal="left" vertical="center" readingOrder="1"/>
    </xf>
    <xf numFmtId="0" fontId="50" fillId="0" borderId="44" xfId="8" applyFont="1" applyBorder="1" applyAlignment="1">
      <alignment vertical="center"/>
    </xf>
    <xf numFmtId="0" fontId="50" fillId="0" borderId="0" xfId="8" applyFont="1" applyAlignment="1">
      <alignment vertical="center"/>
    </xf>
    <xf numFmtId="0" fontId="50" fillId="0" borderId="0" xfId="8" applyFont="1" applyAlignment="1">
      <alignment horizontal="center" vertical="center"/>
    </xf>
    <xf numFmtId="0" fontId="31" fillId="0" borderId="44" xfId="8" applyFont="1" applyBorder="1"/>
    <xf numFmtId="0" fontId="31" fillId="0" borderId="0" xfId="8" applyFont="1" applyAlignment="1">
      <alignment horizontal="center" vertical="center"/>
    </xf>
    <xf numFmtId="4" fontId="31" fillId="0" borderId="0" xfId="8" applyNumberFormat="1" applyFont="1" applyAlignment="1">
      <alignment horizontal="right" vertical="center"/>
    </xf>
    <xf numFmtId="0" fontId="44" fillId="0" borderId="44" xfId="0" applyFont="1" applyBorder="1" applyAlignment="1">
      <alignment vertical="center"/>
    </xf>
    <xf numFmtId="0" fontId="44" fillId="0" borderId="0" xfId="0" applyFont="1" applyAlignment="1">
      <alignment vertical="center"/>
    </xf>
    <xf numFmtId="4" fontId="51" fillId="0" borderId="0" xfId="0" applyNumberFormat="1" applyFont="1" applyAlignment="1">
      <alignment horizontal="right" vertical="center"/>
    </xf>
    <xf numFmtId="4" fontId="42" fillId="0" borderId="0" xfId="0" applyNumberFormat="1" applyFont="1" applyAlignment="1">
      <alignment horizontal="right" vertical="center"/>
    </xf>
    <xf numFmtId="0" fontId="50" fillId="0" borderId="44" xfId="8" applyFont="1" applyBorder="1" applyAlignment="1">
      <alignment vertical="center" wrapText="1"/>
    </xf>
    <xf numFmtId="0" fontId="50" fillId="0" borderId="0" xfId="8" applyFont="1" applyAlignment="1">
      <alignment vertical="center" wrapText="1"/>
    </xf>
    <xf numFmtId="166" fontId="47" fillId="0" borderId="0" xfId="0" applyNumberFormat="1" applyFont="1" applyAlignment="1">
      <alignment vertical="top" wrapText="1"/>
    </xf>
    <xf numFmtId="0" fontId="0" fillId="0" borderId="0" xfId="0" applyAlignment="1">
      <alignment wrapText="1"/>
    </xf>
    <xf numFmtId="0" fontId="36" fillId="0" borderId="0" xfId="8" applyFont="1" applyAlignment="1">
      <alignment horizontal="right" wrapText="1"/>
    </xf>
    <xf numFmtId="20" fontId="37" fillId="0" borderId="11" xfId="8" applyNumberFormat="1" applyFont="1" applyBorder="1" applyAlignment="1">
      <alignment horizontal="left"/>
    </xf>
    <xf numFmtId="0" fontId="31" fillId="0" borderId="33" xfId="8" applyFont="1" applyBorder="1" applyAlignment="1">
      <alignment horizontal="left"/>
    </xf>
    <xf numFmtId="0" fontId="31" fillId="0" borderId="34" xfId="8" applyFont="1" applyBorder="1" applyAlignment="1">
      <alignment horizontal="left"/>
    </xf>
    <xf numFmtId="14" fontId="31" fillId="0" borderId="34" xfId="8" applyNumberFormat="1" applyFont="1" applyBorder="1" applyAlignment="1">
      <alignment horizontal="left"/>
    </xf>
    <xf numFmtId="0" fontId="31" fillId="0" borderId="47" xfId="8" applyFont="1" applyBorder="1" applyAlignment="1">
      <alignment horizontal="left"/>
    </xf>
    <xf numFmtId="4" fontId="38" fillId="0" borderId="28" xfId="8" applyNumberFormat="1" applyFont="1" applyBorder="1" applyAlignment="1">
      <alignment horizontal="right"/>
    </xf>
    <xf numFmtId="0" fontId="55" fillId="0" borderId="2" xfId="0" applyFont="1" applyBorder="1" applyAlignment="1">
      <alignment horizontal="center" vertical="center" wrapText="1"/>
    </xf>
    <xf numFmtId="0" fontId="56" fillId="0" borderId="2" xfId="0" applyFont="1" applyBorder="1" applyAlignment="1">
      <alignment horizontal="center" vertical="center" wrapText="1"/>
    </xf>
    <xf numFmtId="49" fontId="18" fillId="9" borderId="4" xfId="0" applyNumberFormat="1" applyFont="1" applyFill="1" applyBorder="1" applyAlignment="1">
      <alignment horizontal="left" vertical="center" readingOrder="1"/>
    </xf>
    <xf numFmtId="49" fontId="18" fillId="9" borderId="4" xfId="0" applyNumberFormat="1" applyFont="1" applyFill="1" applyBorder="1" applyAlignment="1">
      <alignment horizontal="left" vertical="top" readingOrder="1"/>
    </xf>
    <xf numFmtId="0" fontId="14" fillId="9" borderId="2" xfId="0" applyFont="1" applyFill="1" applyBorder="1" applyAlignment="1">
      <alignment vertical="center" readingOrder="1"/>
    </xf>
    <xf numFmtId="0" fontId="13" fillId="9" borderId="2" xfId="0" applyFont="1" applyFill="1" applyBorder="1" applyAlignment="1">
      <alignment vertical="top"/>
    </xf>
    <xf numFmtId="49" fontId="18" fillId="9" borderId="3" xfId="0" applyNumberFormat="1" applyFont="1" applyFill="1" applyBorder="1" applyAlignment="1">
      <alignment horizontal="left" vertical="center" readingOrder="1"/>
    </xf>
    <xf numFmtId="49" fontId="13" fillId="9" borderId="4" xfId="0" applyNumberFormat="1" applyFont="1" applyFill="1" applyBorder="1" applyAlignment="1">
      <alignment vertical="center" readingOrder="1"/>
    </xf>
    <xf numFmtId="49" fontId="13" fillId="9" borderId="5" xfId="0" applyNumberFormat="1" applyFont="1" applyFill="1" applyBorder="1" applyAlignment="1">
      <alignment horizontal="left" vertical="center" readingOrder="1"/>
    </xf>
    <xf numFmtId="0" fontId="30" fillId="0" borderId="0" xfId="16" applyFont="1" applyAlignment="1">
      <alignment horizontal="center" vertical="center"/>
    </xf>
    <xf numFmtId="0" fontId="57" fillId="11" borderId="17" xfId="19" applyFont="1" applyFill="1" applyBorder="1" applyAlignment="1">
      <alignment horizontal="center" vertical="center" wrapText="1"/>
    </xf>
    <xf numFmtId="0" fontId="57" fillId="11" borderId="48" xfId="19" applyFont="1" applyFill="1" applyBorder="1" applyAlignment="1">
      <alignment horizontal="center" vertical="center" wrapText="1"/>
    </xf>
    <xf numFmtId="0" fontId="57" fillId="11" borderId="49" xfId="19" applyFont="1" applyFill="1" applyBorder="1" applyAlignment="1">
      <alignment horizontal="center" vertical="center" wrapText="1"/>
    </xf>
    <xf numFmtId="0" fontId="58" fillId="12" borderId="48" xfId="19" applyFont="1" applyFill="1" applyBorder="1" applyAlignment="1">
      <alignment horizontal="center" vertical="center" wrapText="1"/>
    </xf>
    <xf numFmtId="0" fontId="4" fillId="0" borderId="0" xfId="19"/>
    <xf numFmtId="0" fontId="59" fillId="13" borderId="50" xfId="19" applyFont="1" applyFill="1" applyBorder="1" applyAlignment="1">
      <alignment horizontal="right" vertical="center" wrapText="1"/>
    </xf>
    <xf numFmtId="0" fontId="59" fillId="13" borderId="51" xfId="19" applyFont="1" applyFill="1" applyBorder="1" applyAlignment="1">
      <alignment vertical="center" wrapText="1"/>
    </xf>
    <xf numFmtId="3" fontId="60" fillId="0" borderId="52" xfId="19" applyNumberFormat="1" applyFont="1" applyBorder="1" applyAlignment="1">
      <alignment horizontal="right" vertical="center" wrapText="1"/>
    </xf>
    <xf numFmtId="4" fontId="4" fillId="0" borderId="0" xfId="19" applyNumberFormat="1"/>
    <xf numFmtId="0" fontId="59" fillId="13" borderId="53" xfId="19" applyFont="1" applyFill="1" applyBorder="1" applyAlignment="1">
      <alignment horizontal="right" vertical="center" wrapText="1"/>
    </xf>
    <xf numFmtId="0" fontId="59" fillId="13" borderId="54" xfId="19" applyFont="1" applyFill="1" applyBorder="1" applyAlignment="1">
      <alignment vertical="center" wrapText="1"/>
    </xf>
    <xf numFmtId="3" fontId="60" fillId="0" borderId="55" xfId="19" applyNumberFormat="1" applyFont="1" applyBorder="1" applyAlignment="1">
      <alignment horizontal="right" vertical="center" wrapText="1"/>
    </xf>
    <xf numFmtId="0" fontId="61" fillId="0" borderId="54" xfId="19" applyFont="1" applyBorder="1" applyAlignment="1">
      <alignment vertical="center" wrapText="1"/>
    </xf>
    <xf numFmtId="9" fontId="4" fillId="0" borderId="0" xfId="19" applyNumberFormat="1"/>
    <xf numFmtId="0" fontId="59" fillId="13" borderId="56" xfId="19" applyFont="1" applyFill="1" applyBorder="1" applyAlignment="1">
      <alignment horizontal="right" vertical="center" wrapText="1"/>
    </xf>
    <xf numFmtId="0" fontId="59" fillId="13" borderId="57" xfId="19" applyFont="1" applyFill="1" applyBorder="1" applyAlignment="1">
      <alignment vertical="center" wrapText="1"/>
    </xf>
    <xf numFmtId="3" fontId="60" fillId="0" borderId="58" xfId="19" applyNumberFormat="1" applyFont="1" applyBorder="1" applyAlignment="1">
      <alignment horizontal="right" vertical="center" wrapText="1"/>
    </xf>
    <xf numFmtId="0" fontId="42" fillId="0" borderId="2" xfId="16" applyFont="1" applyBorder="1" applyAlignment="1">
      <alignment horizontal="center" vertical="center" wrapText="1"/>
    </xf>
    <xf numFmtId="0" fontId="36" fillId="0" borderId="2" xfId="0" applyFont="1" applyBorder="1" applyAlignment="1">
      <alignment horizontal="center" vertical="center" wrapText="1"/>
    </xf>
    <xf numFmtId="0" fontId="62" fillId="0" borderId="2" xfId="0" applyFont="1" applyBorder="1" applyAlignment="1">
      <alignment horizontal="center" vertical="center" wrapText="1"/>
    </xf>
    <xf numFmtId="49" fontId="19" fillId="0" borderId="2" xfId="0" applyNumberFormat="1" applyFont="1" applyBorder="1" applyAlignment="1">
      <alignment wrapText="1" readingOrder="1"/>
    </xf>
    <xf numFmtId="0" fontId="26" fillId="0" borderId="2" xfId="0" applyFont="1" applyBorder="1" applyAlignment="1">
      <alignment horizontal="left" vertical="center" wrapText="1"/>
    </xf>
    <xf numFmtId="49" fontId="19" fillId="0" borderId="2" xfId="0" applyNumberFormat="1" applyFont="1" applyBorder="1" applyAlignment="1">
      <alignment wrapText="1" shrinkToFit="1"/>
    </xf>
    <xf numFmtId="0" fontId="26" fillId="0" borderId="2" xfId="0" applyFont="1" applyBorder="1" applyAlignment="1">
      <alignment vertical="center" wrapText="1"/>
    </xf>
    <xf numFmtId="49" fontId="13" fillId="0" borderId="2" xfId="0" applyNumberFormat="1" applyFont="1" applyBorder="1" applyAlignment="1">
      <alignment horizontal="center" vertical="center"/>
    </xf>
    <xf numFmtId="0" fontId="56" fillId="10" borderId="2" xfId="0" applyFont="1" applyFill="1" applyBorder="1" applyAlignment="1">
      <alignment horizontal="center" vertical="center" wrapText="1"/>
    </xf>
    <xf numFmtId="0" fontId="54" fillId="10" borderId="2" xfId="0" applyFont="1" applyFill="1" applyBorder="1" applyAlignment="1">
      <alignment horizontal="left" vertical="center" wrapText="1"/>
    </xf>
    <xf numFmtId="1" fontId="13" fillId="0" borderId="2" xfId="0" applyNumberFormat="1" applyFont="1" applyBorder="1" applyAlignment="1">
      <alignment horizontal="center" vertical="center"/>
    </xf>
    <xf numFmtId="0" fontId="19" fillId="0" borderId="0" xfId="0" applyFont="1" applyAlignment="1">
      <alignment vertical="center" wrapText="1"/>
    </xf>
    <xf numFmtId="49" fontId="18" fillId="9" borderId="2" xfId="0" applyNumberFormat="1" applyFont="1" applyFill="1" applyBorder="1" applyAlignment="1">
      <alignment vertical="center" readingOrder="1"/>
    </xf>
    <xf numFmtId="49" fontId="18" fillId="9" borderId="2" xfId="0" applyNumberFormat="1" applyFont="1" applyFill="1" applyBorder="1" applyAlignment="1">
      <alignment readingOrder="1"/>
    </xf>
    <xf numFmtId="0" fontId="13" fillId="9" borderId="2" xfId="0" applyFont="1" applyFill="1" applyBorder="1" applyAlignment="1">
      <alignment horizontal="center" vertical="center" readingOrder="1"/>
    </xf>
    <xf numFmtId="0" fontId="13" fillId="9" borderId="2" xfId="0" applyFont="1" applyFill="1" applyBorder="1" applyAlignment="1">
      <alignment horizontal="left" vertical="center" readingOrder="1"/>
    </xf>
    <xf numFmtId="49" fontId="18" fillId="10" borderId="2" xfId="0" applyNumberFormat="1" applyFont="1" applyFill="1" applyBorder="1" applyAlignment="1">
      <alignment vertical="center" readingOrder="1"/>
    </xf>
    <xf numFmtId="49" fontId="18" fillId="10" borderId="2" xfId="0" applyNumberFormat="1" applyFont="1" applyFill="1" applyBorder="1" applyAlignment="1">
      <alignment readingOrder="1"/>
    </xf>
    <xf numFmtId="0" fontId="13" fillId="10" borderId="2" xfId="0" applyFont="1" applyFill="1" applyBorder="1" applyAlignment="1">
      <alignment horizontal="center" vertical="center" readingOrder="1"/>
    </xf>
    <xf numFmtId="0" fontId="13" fillId="10" borderId="2" xfId="0" applyFont="1" applyFill="1" applyBorder="1" applyAlignment="1">
      <alignment horizontal="left" vertical="center" readingOrder="1"/>
    </xf>
    <xf numFmtId="0" fontId="14" fillId="0" borderId="2" xfId="0" applyFont="1" applyBorder="1" applyAlignment="1">
      <alignment vertical="center" readingOrder="1"/>
    </xf>
    <xf numFmtId="0" fontId="14" fillId="0" borderId="2" xfId="0" applyFont="1" applyBorder="1" applyAlignment="1">
      <alignment readingOrder="1"/>
    </xf>
    <xf numFmtId="1" fontId="14" fillId="9" borderId="2" xfId="0" applyNumberFormat="1" applyFont="1" applyFill="1" applyBorder="1" applyAlignment="1">
      <alignment horizontal="left" vertical="center" readingOrder="1"/>
    </xf>
    <xf numFmtId="49" fontId="14" fillId="9" borderId="2" xfId="0" applyNumberFormat="1" applyFont="1" applyFill="1" applyBorder="1" applyAlignment="1">
      <alignment horizontal="left" vertical="center" readingOrder="1"/>
    </xf>
    <xf numFmtId="49" fontId="14" fillId="9" borderId="2" xfId="0" applyNumberFormat="1" applyFont="1" applyFill="1" applyBorder="1" applyAlignment="1">
      <alignment horizontal="left" vertical="top" readingOrder="1"/>
    </xf>
    <xf numFmtId="49" fontId="14" fillId="9" borderId="2" xfId="0" applyNumberFormat="1" applyFont="1" applyFill="1" applyBorder="1" applyAlignment="1">
      <alignment vertical="center" readingOrder="1"/>
    </xf>
    <xf numFmtId="1" fontId="14" fillId="10" borderId="2" xfId="0" applyNumberFormat="1" applyFont="1" applyFill="1" applyBorder="1" applyAlignment="1">
      <alignment horizontal="left" vertical="center" readingOrder="1"/>
    </xf>
    <xf numFmtId="49" fontId="14" fillId="10" borderId="2" xfId="0" applyNumberFormat="1" applyFont="1" applyFill="1" applyBorder="1" applyAlignment="1">
      <alignment horizontal="left" vertical="center" readingOrder="1"/>
    </xf>
    <xf numFmtId="49" fontId="14" fillId="10" borderId="2" xfId="0" applyNumberFormat="1" applyFont="1" applyFill="1" applyBorder="1" applyAlignment="1">
      <alignment horizontal="left" vertical="top" readingOrder="1"/>
    </xf>
    <xf numFmtId="49" fontId="14" fillId="10" borderId="2" xfId="0" applyNumberFormat="1" applyFont="1" applyFill="1" applyBorder="1" applyAlignment="1">
      <alignment vertical="center" readingOrder="1"/>
    </xf>
    <xf numFmtId="49" fontId="19" fillId="3" borderId="2" xfId="0" applyNumberFormat="1" applyFont="1" applyFill="1" applyBorder="1" applyAlignment="1">
      <alignment horizontal="left" vertical="top" wrapText="1" shrinkToFit="1"/>
    </xf>
    <xf numFmtId="49" fontId="19" fillId="10" borderId="2" xfId="0" applyNumberFormat="1" applyFont="1" applyFill="1" applyBorder="1" applyAlignment="1">
      <alignment horizontal="left" vertical="top" readingOrder="1"/>
    </xf>
    <xf numFmtId="49" fontId="13" fillId="10" borderId="2" xfId="0" applyNumberFormat="1" applyFont="1" applyFill="1" applyBorder="1" applyAlignment="1">
      <alignment vertical="center" readingOrder="1"/>
    </xf>
    <xf numFmtId="49" fontId="13" fillId="10" borderId="2" xfId="0" applyNumberFormat="1" applyFont="1" applyFill="1" applyBorder="1" applyAlignment="1">
      <alignment horizontal="left" vertical="center" readingOrder="1"/>
    </xf>
    <xf numFmtId="1" fontId="18" fillId="10" borderId="2" xfId="0" applyNumberFormat="1" applyFont="1" applyFill="1" applyBorder="1" applyAlignment="1">
      <alignment horizontal="left" vertical="center" readingOrder="1"/>
    </xf>
    <xf numFmtId="49" fontId="18" fillId="10" borderId="2" xfId="0" applyNumberFormat="1" applyFont="1" applyFill="1" applyBorder="1" applyAlignment="1">
      <alignment horizontal="left" vertical="center" readingOrder="1"/>
    </xf>
    <xf numFmtId="49" fontId="18" fillId="10" borderId="2" xfId="0" applyNumberFormat="1" applyFont="1" applyFill="1" applyBorder="1" applyAlignment="1">
      <alignment horizontal="left" vertical="top" readingOrder="1"/>
    </xf>
    <xf numFmtId="49" fontId="22" fillId="0" borderId="2" xfId="0" applyNumberFormat="1" applyFont="1" applyBorder="1" applyAlignment="1">
      <alignment horizontal="left" vertical="top" wrapText="1" shrinkToFit="1"/>
    </xf>
    <xf numFmtId="49" fontId="18" fillId="0" borderId="2" xfId="0" applyNumberFormat="1" applyFont="1" applyBorder="1" applyAlignment="1">
      <alignment horizontal="left" vertical="top" readingOrder="1"/>
    </xf>
    <xf numFmtId="1" fontId="18" fillId="14" borderId="2" xfId="0" applyNumberFormat="1" applyFont="1" applyFill="1" applyBorder="1" applyAlignment="1">
      <alignment horizontal="left" vertical="center" readingOrder="1"/>
    </xf>
    <xf numFmtId="49" fontId="18" fillId="14" borderId="2" xfId="0" applyNumberFormat="1" applyFont="1" applyFill="1" applyBorder="1" applyAlignment="1">
      <alignment horizontal="left" vertical="center" readingOrder="1"/>
    </xf>
    <xf numFmtId="49" fontId="18" fillId="14" borderId="2" xfId="0" applyNumberFormat="1" applyFont="1" applyFill="1" applyBorder="1" applyAlignment="1">
      <alignment horizontal="left" vertical="top" readingOrder="1"/>
    </xf>
    <xf numFmtId="0" fontId="56" fillId="14" borderId="2" xfId="0" applyFont="1" applyFill="1" applyBorder="1" applyAlignment="1">
      <alignment horizontal="center" vertical="center" wrapText="1"/>
    </xf>
    <xf numFmtId="0" fontId="54" fillId="14" borderId="2" xfId="0" applyFont="1" applyFill="1" applyBorder="1" applyAlignment="1">
      <alignment horizontal="left" vertical="center" wrapText="1"/>
    </xf>
    <xf numFmtId="49" fontId="18" fillId="14" borderId="2" xfId="0" applyNumberFormat="1" applyFont="1" applyFill="1" applyBorder="1" applyAlignment="1">
      <alignment vertical="center" readingOrder="1"/>
    </xf>
    <xf numFmtId="49" fontId="18" fillId="9" borderId="2" xfId="0" applyNumberFormat="1" applyFont="1" applyFill="1" applyBorder="1" applyAlignment="1">
      <alignment horizontal="left" vertical="center" readingOrder="2"/>
    </xf>
    <xf numFmtId="49" fontId="18" fillId="9" borderId="2" xfId="0" applyNumberFormat="1" applyFont="1" applyFill="1" applyBorder="1" applyAlignment="1">
      <alignment vertical="center" readingOrder="2"/>
    </xf>
    <xf numFmtId="49" fontId="18" fillId="9" borderId="2" xfId="0" applyNumberFormat="1" applyFont="1" applyFill="1" applyBorder="1" applyAlignment="1">
      <alignment vertical="top" readingOrder="2"/>
    </xf>
    <xf numFmtId="49" fontId="18" fillId="9" borderId="2" xfId="0" applyNumberFormat="1" applyFont="1" applyFill="1" applyBorder="1" applyAlignment="1">
      <alignment horizontal="center" vertical="center" readingOrder="2"/>
    </xf>
    <xf numFmtId="49" fontId="18" fillId="9" borderId="2" xfId="0" applyNumberFormat="1" applyFont="1" applyFill="1" applyBorder="1" applyAlignment="1">
      <alignment horizontal="left" vertical="top" readingOrder="2"/>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49" fontId="19" fillId="0" borderId="2" xfId="0" applyNumberFormat="1" applyFont="1" applyBorder="1" applyAlignment="1">
      <alignment horizontal="center" vertical="center" wrapText="1" shrinkToFit="1"/>
    </xf>
    <xf numFmtId="0" fontId="14" fillId="9" borderId="2" xfId="0" applyFont="1" applyFill="1" applyBorder="1" applyAlignment="1">
      <alignment horizontal="left" vertical="center" readingOrder="1"/>
    </xf>
    <xf numFmtId="0" fontId="14" fillId="9" borderId="2" xfId="0" applyFont="1" applyFill="1" applyBorder="1" applyAlignment="1">
      <alignment horizontal="center" vertical="top"/>
    </xf>
    <xf numFmtId="0" fontId="13" fillId="9" borderId="2" xfId="0" applyFont="1" applyFill="1" applyBorder="1" applyAlignment="1">
      <alignment vertical="center" readingOrder="1"/>
    </xf>
    <xf numFmtId="0" fontId="13" fillId="0" borderId="2" xfId="0" applyFont="1" applyBorder="1" applyAlignment="1">
      <alignment horizontal="left" vertical="center" wrapText="1" readingOrder="1"/>
    </xf>
    <xf numFmtId="49" fontId="18" fillId="8" borderId="2" xfId="0" applyNumberFormat="1" applyFont="1" applyFill="1" applyBorder="1" applyAlignment="1">
      <alignment vertical="center" readingOrder="1"/>
    </xf>
    <xf numFmtId="49" fontId="19" fillId="8" borderId="3" xfId="0" applyNumberFormat="1" applyFont="1" applyFill="1" applyBorder="1" applyAlignment="1">
      <alignment vertical="top" readingOrder="1"/>
    </xf>
    <xf numFmtId="49" fontId="19" fillId="8" borderId="4" xfId="0" applyNumberFormat="1" applyFont="1" applyFill="1" applyBorder="1" applyAlignment="1">
      <alignment vertical="top" readingOrder="1"/>
    </xf>
    <xf numFmtId="49" fontId="19" fillId="8" borderId="5" xfId="0" applyNumberFormat="1" applyFont="1" applyFill="1" applyBorder="1" applyAlignment="1">
      <alignment vertical="top" readingOrder="1"/>
    </xf>
    <xf numFmtId="0" fontId="3" fillId="0" borderId="0" xfId="20"/>
    <xf numFmtId="0" fontId="18" fillId="0" borderId="2" xfId="20" applyFont="1" applyBorder="1" applyAlignment="1">
      <alignment horizontal="center" vertical="center"/>
    </xf>
    <xf numFmtId="0" fontId="14" fillId="0" borderId="2" xfId="20" applyFont="1" applyBorder="1" applyAlignment="1">
      <alignment horizontal="center" vertical="center"/>
    </xf>
    <xf numFmtId="0" fontId="13" fillId="0" borderId="2" xfId="20" applyFont="1" applyBorder="1"/>
    <xf numFmtId="0" fontId="13" fillId="0" borderId="2" xfId="20" applyFont="1" applyBorder="1" applyAlignment="1">
      <alignment horizontal="center" vertical="center"/>
    </xf>
    <xf numFmtId="0" fontId="13" fillId="0" borderId="2" xfId="20" applyFont="1" applyBorder="1" applyAlignment="1">
      <alignment vertical="top" wrapText="1"/>
    </xf>
    <xf numFmtId="0" fontId="13" fillId="0" borderId="2" xfId="20" applyFont="1" applyBorder="1" applyAlignment="1">
      <alignment vertical="center"/>
    </xf>
    <xf numFmtId="0" fontId="13" fillId="0" borderId="2" xfId="20" applyFont="1" applyBorder="1" applyAlignment="1">
      <alignment wrapText="1"/>
    </xf>
    <xf numFmtId="0" fontId="19" fillId="0" borderId="2" xfId="20" applyFont="1" applyBorder="1" applyAlignment="1">
      <alignment vertical="center"/>
    </xf>
    <xf numFmtId="0" fontId="19" fillId="0" borderId="2" xfId="20" applyFont="1" applyBorder="1" applyAlignment="1">
      <alignment vertical="center" wrapText="1"/>
    </xf>
    <xf numFmtId="0" fontId="13" fillId="0" borderId="2" xfId="20" applyFont="1" applyBorder="1" applyAlignment="1">
      <alignment horizontal="left" vertical="center" wrapText="1"/>
    </xf>
    <xf numFmtId="0" fontId="13" fillId="0" borderId="2" xfId="20" applyFont="1" applyBorder="1" applyAlignment="1">
      <alignment vertical="center" wrapText="1"/>
    </xf>
    <xf numFmtId="0" fontId="13" fillId="0" borderId="2" xfId="20" applyFont="1" applyBorder="1" applyAlignment="1">
      <alignment horizontal="left" vertical="top"/>
    </xf>
    <xf numFmtId="0" fontId="13" fillId="0" borderId="2" xfId="20" applyFont="1" applyBorder="1" applyAlignment="1">
      <alignment horizontal="center"/>
    </xf>
    <xf numFmtId="0" fontId="40" fillId="0" borderId="0" xfId="21" applyFont="1" applyAlignment="1">
      <alignment horizontal="center"/>
    </xf>
    <xf numFmtId="0" fontId="40" fillId="0" borderId="0" xfId="21" applyFont="1"/>
    <xf numFmtId="0" fontId="2" fillId="0" borderId="0" xfId="21"/>
    <xf numFmtId="0" fontId="2" fillId="0" borderId="0" xfId="21" applyAlignment="1">
      <alignment horizontal="center"/>
    </xf>
    <xf numFmtId="0" fontId="2" fillId="0" borderId="0" xfId="21" applyAlignment="1">
      <alignment horizontal="left" vertical="center"/>
    </xf>
    <xf numFmtId="0" fontId="40" fillId="0" borderId="0" xfId="21" applyFont="1" applyAlignment="1">
      <alignment horizontal="left" vertical="top"/>
    </xf>
    <xf numFmtId="4" fontId="0" fillId="0" borderId="0" xfId="0" applyNumberFormat="1"/>
    <xf numFmtId="1" fontId="18" fillId="8" borderId="2" xfId="0" applyNumberFormat="1" applyFont="1" applyFill="1" applyBorder="1" applyAlignment="1">
      <alignment horizontal="left" vertical="center" readingOrder="1"/>
    </xf>
    <xf numFmtId="49" fontId="18" fillId="8" borderId="2" xfId="0" applyNumberFormat="1" applyFont="1" applyFill="1" applyBorder="1" applyAlignment="1">
      <alignment horizontal="left" vertical="center" readingOrder="1"/>
    </xf>
    <xf numFmtId="0" fontId="56" fillId="8" borderId="2" xfId="0" applyFont="1" applyFill="1" applyBorder="1" applyAlignment="1">
      <alignment horizontal="center" vertical="center" wrapText="1"/>
    </xf>
    <xf numFmtId="0" fontId="54" fillId="8" borderId="2" xfId="0" applyFont="1" applyFill="1" applyBorder="1" applyAlignment="1">
      <alignment horizontal="left" vertical="center" wrapText="1"/>
    </xf>
    <xf numFmtId="49" fontId="13" fillId="8" borderId="2" xfId="0" applyNumberFormat="1" applyFont="1" applyFill="1" applyBorder="1" applyAlignment="1">
      <alignment vertical="center" readingOrder="1"/>
    </xf>
    <xf numFmtId="49" fontId="13" fillId="8" borderId="2" xfId="0" applyNumberFormat="1" applyFont="1" applyFill="1" applyBorder="1" applyAlignment="1">
      <alignment horizontal="left" vertical="center" readingOrder="1"/>
    </xf>
    <xf numFmtId="0" fontId="13" fillId="0" borderId="0" xfId="16" applyFont="1" applyAlignment="1">
      <alignment horizontal="left" vertical="top" wrapText="1"/>
    </xf>
    <xf numFmtId="0" fontId="13" fillId="0" borderId="0" xfId="16" applyFont="1" applyAlignment="1">
      <alignment horizontal="left" vertical="center" wrapText="1"/>
    </xf>
    <xf numFmtId="14" fontId="13" fillId="0" borderId="0" xfId="16" applyNumberFormat="1" applyFont="1" applyAlignment="1">
      <alignment horizontal="left" vertical="top" wrapText="1"/>
    </xf>
    <xf numFmtId="14" fontId="13" fillId="0" borderId="0" xfId="16" applyNumberFormat="1" applyFont="1" applyAlignment="1">
      <alignment horizontal="left" vertical="center" wrapText="1"/>
    </xf>
    <xf numFmtId="14" fontId="13" fillId="0" borderId="0" xfId="16" applyNumberFormat="1" applyFont="1" applyAlignment="1">
      <alignment horizontal="left" vertical="top"/>
    </xf>
    <xf numFmtId="0" fontId="64" fillId="0" borderId="17" xfId="0" applyFont="1" applyBorder="1" applyAlignment="1">
      <alignment horizontal="center" vertical="center"/>
    </xf>
    <xf numFmtId="0" fontId="64" fillId="0" borderId="48" xfId="0" applyFont="1" applyBorder="1" applyAlignment="1">
      <alignment horizontal="center" vertical="center"/>
    </xf>
    <xf numFmtId="0" fontId="65" fillId="0" borderId="61" xfId="0" applyFont="1" applyBorder="1" applyAlignment="1">
      <alignment horizontal="center" vertical="center"/>
    </xf>
    <xf numFmtId="0" fontId="66" fillId="0" borderId="62" xfId="0" applyFont="1" applyBorder="1" applyAlignment="1">
      <alignment horizontal="justify" vertical="center"/>
    </xf>
    <xf numFmtId="0" fontId="13" fillId="14" borderId="2" xfId="0" applyFont="1" applyFill="1" applyBorder="1" applyAlignment="1">
      <alignment vertical="center" readingOrder="1"/>
    </xf>
    <xf numFmtId="0" fontId="13" fillId="14" borderId="2" xfId="0" applyFont="1" applyFill="1" applyBorder="1" applyAlignment="1">
      <alignment readingOrder="1"/>
    </xf>
    <xf numFmtId="0" fontId="13" fillId="14" borderId="2" xfId="0" applyFont="1" applyFill="1" applyBorder="1" applyAlignment="1">
      <alignment horizontal="center" vertical="center" readingOrder="1"/>
    </xf>
    <xf numFmtId="0" fontId="13" fillId="14" borderId="2" xfId="0" applyFont="1" applyFill="1" applyBorder="1" applyAlignment="1">
      <alignment horizontal="left" vertical="center" readingOrder="1"/>
    </xf>
    <xf numFmtId="0" fontId="14" fillId="0" borderId="0" xfId="0" applyFont="1" applyAlignment="1">
      <alignment horizontal="center" vertical="center" wrapText="1"/>
    </xf>
    <xf numFmtId="14" fontId="13" fillId="0" borderId="0" xfId="0" applyNumberFormat="1" applyFont="1" applyAlignment="1">
      <alignment horizontal="left" vertical="center" wrapText="1"/>
    </xf>
    <xf numFmtId="0" fontId="13" fillId="0" borderId="0" xfId="0" applyFont="1" applyAlignment="1">
      <alignment horizontal="left" vertical="center" wrapText="1"/>
    </xf>
    <xf numFmtId="0" fontId="13" fillId="0" borderId="1" xfId="0" applyFont="1" applyBorder="1" applyAlignment="1">
      <alignment horizontal="left" vertical="center" wrapText="1"/>
    </xf>
    <xf numFmtId="1" fontId="14" fillId="0" borderId="2" xfId="0" applyNumberFormat="1" applyFont="1" applyBorder="1" applyAlignment="1">
      <alignment horizontal="center" vertical="center"/>
    </xf>
    <xf numFmtId="0" fontId="14" fillId="0" borderId="2" xfId="0" applyFont="1" applyBorder="1" applyAlignment="1">
      <alignment horizontal="center" vertical="center" wrapText="1"/>
    </xf>
    <xf numFmtId="0" fontId="24" fillId="0" borderId="1" xfId="0" applyFont="1" applyBorder="1" applyAlignment="1">
      <alignment horizontal="left" vertical="center" wrapText="1"/>
    </xf>
    <xf numFmtId="14" fontId="24" fillId="0" borderId="0" xfId="0" applyNumberFormat="1" applyFont="1" applyAlignment="1">
      <alignment horizontal="left" vertical="center"/>
    </xf>
    <xf numFmtId="0" fontId="24" fillId="0" borderId="0" xfId="0" applyFont="1" applyAlignment="1">
      <alignment horizontal="left" vertical="center"/>
    </xf>
    <xf numFmtId="0" fontId="14" fillId="0" borderId="2" xfId="0" applyFont="1" applyBorder="1" applyAlignment="1">
      <alignment horizontal="center" vertical="center"/>
    </xf>
    <xf numFmtId="0" fontId="14" fillId="0" borderId="5" xfId="0" applyFont="1" applyBorder="1" applyAlignment="1">
      <alignment horizontal="center" vertical="center" wrapText="1"/>
    </xf>
    <xf numFmtId="14" fontId="24" fillId="0" borderId="0" xfId="0" applyNumberFormat="1" applyFont="1" applyAlignment="1">
      <alignment horizontal="left" vertical="center" wrapText="1"/>
    </xf>
    <xf numFmtId="0" fontId="24" fillId="0" borderId="0" xfId="0" applyFont="1" applyAlignment="1">
      <alignment horizontal="left" vertical="center" wrapText="1"/>
    </xf>
    <xf numFmtId="0" fontId="14" fillId="0" borderId="59" xfId="0" applyFont="1" applyBorder="1" applyAlignment="1">
      <alignment horizontal="center" vertical="center" wrapText="1"/>
    </xf>
    <xf numFmtId="0" fontId="14" fillId="0" borderId="60" xfId="0" applyFont="1" applyBorder="1" applyAlignment="1">
      <alignment horizontal="center" vertical="center" wrapText="1"/>
    </xf>
    <xf numFmtId="165" fontId="13" fillId="0" borderId="0" xfId="0" applyNumberFormat="1" applyFont="1" applyAlignment="1">
      <alignment horizontal="center" vertical="center"/>
    </xf>
    <xf numFmtId="0" fontId="30" fillId="0" borderId="0" xfId="16" applyFont="1" applyAlignment="1">
      <alignment horizontal="center" vertical="center"/>
    </xf>
    <xf numFmtId="0" fontId="14" fillId="0" borderId="0" xfId="0" applyFont="1" applyAlignment="1">
      <alignment vertical="center"/>
    </xf>
    <xf numFmtId="14" fontId="13" fillId="0" borderId="0" xfId="16" applyNumberFormat="1" applyFont="1" applyAlignment="1">
      <alignment horizontal="left" vertical="center"/>
    </xf>
    <xf numFmtId="0" fontId="13" fillId="0" borderId="0" xfId="16" applyFont="1" applyAlignment="1">
      <alignment horizontal="left" vertical="center"/>
    </xf>
    <xf numFmtId="0" fontId="14" fillId="0" borderId="2" xfId="20" applyFont="1" applyBorder="1" applyAlignment="1">
      <alignment horizontal="left"/>
    </xf>
    <xf numFmtId="0" fontId="14" fillId="0" borderId="1" xfId="20" applyFont="1" applyBorder="1" applyAlignment="1">
      <alignment horizontal="center"/>
    </xf>
    <xf numFmtId="0" fontId="18" fillId="0" borderId="2" xfId="20" applyFont="1" applyBorder="1" applyAlignment="1">
      <alignment horizontal="left" vertical="center"/>
    </xf>
    <xf numFmtId="0" fontId="14" fillId="0" borderId="2" xfId="20" applyFont="1" applyBorder="1" applyAlignment="1">
      <alignment horizontal="left" vertical="center"/>
    </xf>
    <xf numFmtId="0" fontId="34" fillId="0" borderId="11" xfId="8" applyFont="1" applyBorder="1" applyAlignment="1">
      <alignment horizontal="left" readingOrder="1"/>
    </xf>
    <xf numFmtId="0" fontId="37" fillId="0" borderId="11" xfId="8" applyFont="1" applyBorder="1" applyAlignment="1">
      <alignment horizontal="left"/>
    </xf>
    <xf numFmtId="20" fontId="37" fillId="0" borderId="11" xfId="8" applyNumberFormat="1" applyFont="1" applyBorder="1" applyAlignment="1">
      <alignment horizontal="left"/>
    </xf>
    <xf numFmtId="0" fontId="36" fillId="0" borderId="0" xfId="8" applyFont="1" applyAlignment="1">
      <alignment horizontal="left"/>
    </xf>
    <xf numFmtId="20" fontId="36" fillId="0" borderId="0" xfId="8" applyNumberFormat="1" applyFont="1" applyAlignment="1">
      <alignment horizontal="center"/>
    </xf>
    <xf numFmtId="0" fontId="36" fillId="0" borderId="0" xfId="8" applyFont="1" applyAlignment="1">
      <alignment horizontal="center"/>
    </xf>
    <xf numFmtId="14" fontId="37" fillId="0" borderId="11" xfId="8" applyNumberFormat="1" applyFont="1" applyBorder="1" applyAlignment="1">
      <alignment horizontal="left"/>
    </xf>
    <xf numFmtId="4" fontId="38" fillId="0" borderId="28" xfId="8" applyNumberFormat="1" applyFont="1" applyBorder="1" applyAlignment="1">
      <alignment horizontal="right"/>
    </xf>
    <xf numFmtId="0" fontId="31" fillId="0" borderId="11" xfId="8" applyFont="1" applyBorder="1" applyAlignment="1">
      <alignment horizontal="left"/>
    </xf>
    <xf numFmtId="0" fontId="38" fillId="0" borderId="0" xfId="8" applyFont="1" applyAlignment="1">
      <alignment horizontal="center"/>
    </xf>
    <xf numFmtId="0" fontId="32" fillId="0" borderId="7" xfId="8" applyFont="1" applyBorder="1" applyAlignment="1">
      <alignment horizontal="center" vertical="center"/>
    </xf>
    <xf numFmtId="0" fontId="31" fillId="0" borderId="32" xfId="8" applyFont="1" applyBorder="1" applyAlignment="1">
      <alignment horizontal="left"/>
    </xf>
    <xf numFmtId="0" fontId="31" fillId="0" borderId="31" xfId="8" applyFont="1" applyBorder="1" applyAlignment="1">
      <alignment horizontal="left"/>
    </xf>
    <xf numFmtId="0" fontId="31" fillId="0" borderId="46" xfId="8" applyFont="1" applyBorder="1" applyAlignment="1">
      <alignment horizontal="left"/>
    </xf>
    <xf numFmtId="0" fontId="31" fillId="0" borderId="0" xfId="8" applyFont="1" applyAlignment="1">
      <alignment horizontal="left"/>
    </xf>
    <xf numFmtId="4" fontId="38" fillId="0" borderId="26" xfId="8" applyNumberFormat="1" applyFont="1" applyBorder="1" applyAlignment="1">
      <alignment horizontal="right"/>
    </xf>
    <xf numFmtId="4" fontId="38" fillId="0" borderId="27" xfId="8" applyNumberFormat="1" applyFont="1" applyBorder="1" applyAlignment="1">
      <alignment horizontal="right"/>
    </xf>
    <xf numFmtId="0" fontId="38" fillId="0" borderId="15" xfId="8" applyFont="1" applyBorder="1" applyAlignment="1">
      <alignment horizontal="left"/>
    </xf>
    <xf numFmtId="0" fontId="38" fillId="0" borderId="0" xfId="8" applyFont="1" applyAlignment="1">
      <alignment horizontal="left"/>
    </xf>
    <xf numFmtId="0" fontId="38" fillId="0" borderId="1" xfId="8" applyFont="1" applyBorder="1" applyAlignment="1">
      <alignment horizontal="center"/>
    </xf>
    <xf numFmtId="0" fontId="31" fillId="0" borderId="29" xfId="8" applyFont="1" applyBorder="1" applyAlignment="1">
      <alignment horizontal="left"/>
    </xf>
    <xf numFmtId="0" fontId="31" fillId="0" borderId="30" xfId="8" applyFont="1" applyBorder="1" applyAlignment="1">
      <alignment horizontal="left"/>
    </xf>
    <xf numFmtId="0" fontId="31" fillId="0" borderId="45" xfId="8" applyFont="1" applyBorder="1" applyAlignment="1">
      <alignment horizontal="left"/>
    </xf>
    <xf numFmtId="0" fontId="63" fillId="0" borderId="3" xfId="21" applyFont="1" applyBorder="1" applyAlignment="1">
      <alignment horizontal="left"/>
    </xf>
    <xf numFmtId="0" fontId="63" fillId="0" borderId="5" xfId="21" applyFont="1" applyBorder="1" applyAlignment="1">
      <alignment horizontal="left"/>
    </xf>
    <xf numFmtId="1" fontId="1" fillId="0" borderId="3" xfId="21" applyNumberFormat="1" applyFont="1" applyBorder="1" applyAlignment="1">
      <alignment horizontal="left"/>
    </xf>
    <xf numFmtId="1" fontId="2" fillId="0" borderId="5" xfId="21" applyNumberFormat="1" applyBorder="1" applyAlignment="1">
      <alignment horizontal="left"/>
    </xf>
    <xf numFmtId="0" fontId="40" fillId="0" borderId="0" xfId="21" applyFont="1" applyAlignment="1">
      <alignment horizontal="center"/>
    </xf>
    <xf numFmtId="0" fontId="63" fillId="0" borderId="2" xfId="21" applyFont="1" applyBorder="1" applyAlignment="1">
      <alignment horizontal="left"/>
    </xf>
    <xf numFmtId="0" fontId="1" fillId="0" borderId="2" xfId="21" applyFont="1" applyBorder="1" applyAlignment="1">
      <alignment horizontal="left"/>
    </xf>
    <xf numFmtId="0" fontId="2" fillId="0" borderId="2" xfId="21" applyBorder="1" applyAlignment="1">
      <alignment horizontal="left"/>
    </xf>
    <xf numFmtId="0" fontId="63" fillId="0" borderId="2" xfId="21" applyFont="1" applyBorder="1" applyAlignment="1">
      <alignment horizontal="center"/>
    </xf>
    <xf numFmtId="0" fontId="1" fillId="0" borderId="2" xfId="21" applyFont="1" applyBorder="1" applyAlignment="1">
      <alignment horizontal="center"/>
    </xf>
    <xf numFmtId="0" fontId="2" fillId="0" borderId="2" xfId="21" applyBorder="1" applyAlignment="1">
      <alignment horizontal="center"/>
    </xf>
    <xf numFmtId="0" fontId="1" fillId="0" borderId="2" xfId="21" applyFont="1" applyBorder="1" applyAlignment="1">
      <alignment horizontal="center" vertical="center"/>
    </xf>
    <xf numFmtId="0" fontId="2" fillId="0" borderId="2" xfId="21" applyBorder="1" applyAlignment="1">
      <alignment horizontal="center" vertical="center"/>
    </xf>
    <xf numFmtId="0" fontId="2" fillId="0" borderId="2" xfId="21" applyBorder="1" applyAlignment="1">
      <alignment horizontal="left" vertical="center" wrapText="1"/>
    </xf>
    <xf numFmtId="1" fontId="1" fillId="0" borderId="2" xfId="21" applyNumberFormat="1" applyFont="1" applyBorder="1" applyAlignment="1">
      <alignment horizontal="left"/>
    </xf>
    <xf numFmtId="1" fontId="2" fillId="0" borderId="2" xfId="21" applyNumberFormat="1" applyBorder="1" applyAlignment="1">
      <alignment horizontal="left"/>
    </xf>
    <xf numFmtId="0" fontId="41" fillId="0" borderId="0" xfId="18" applyFont="1" applyAlignment="1">
      <alignment horizontal="center"/>
    </xf>
    <xf numFmtId="167" fontId="53" fillId="0" borderId="0" xfId="0" applyNumberFormat="1" applyFont="1" applyAlignment="1">
      <alignment horizontal="left" vertical="center" wrapText="1"/>
    </xf>
    <xf numFmtId="0" fontId="14" fillId="0" borderId="0" xfId="0" applyFont="1" applyAlignment="1">
      <alignment horizontal="center"/>
    </xf>
    <xf numFmtId="0" fontId="50" fillId="0" borderId="2" xfId="8" applyFont="1" applyBorder="1" applyAlignment="1">
      <alignment horizontal="center" vertical="center"/>
    </xf>
    <xf numFmtId="0" fontId="44" fillId="0" borderId="2" xfId="0" applyFont="1" applyBorder="1" applyAlignment="1">
      <alignment horizontal="center" vertical="center"/>
    </xf>
    <xf numFmtId="0" fontId="50" fillId="0" borderId="2" xfId="8" applyFont="1" applyBorder="1" applyAlignment="1">
      <alignment horizontal="left" vertical="center" wrapText="1"/>
    </xf>
    <xf numFmtId="0" fontId="50" fillId="8" borderId="2" xfId="8" applyFont="1" applyFill="1" applyBorder="1" applyAlignment="1">
      <alignment horizontal="center" vertical="center"/>
    </xf>
    <xf numFmtId="166" fontId="53" fillId="0" borderId="0" xfId="0" applyNumberFormat="1" applyFont="1" applyAlignment="1">
      <alignment horizontal="left" vertical="center" wrapText="1"/>
    </xf>
    <xf numFmtId="0" fontId="48" fillId="0" borderId="0" xfId="0" applyFont="1" applyAlignment="1">
      <alignment horizontal="center"/>
    </xf>
    <xf numFmtId="0" fontId="48" fillId="0" borderId="35" xfId="0" applyFont="1" applyBorder="1" applyAlignment="1">
      <alignment horizontal="left" vertical="center"/>
    </xf>
    <xf numFmtId="14" fontId="49" fillId="0" borderId="35" xfId="0" applyNumberFormat="1" applyFont="1" applyBorder="1" applyAlignment="1">
      <alignment horizontal="left" vertical="center"/>
    </xf>
    <xf numFmtId="0" fontId="48" fillId="0" borderId="36" xfId="0" applyFont="1" applyBorder="1" applyAlignment="1">
      <alignment horizontal="left" vertical="center"/>
    </xf>
    <xf numFmtId="22" fontId="49" fillId="0" borderId="36" xfId="0" applyNumberFormat="1" applyFont="1" applyBorder="1" applyAlignment="1">
      <alignment horizontal="left" vertical="center"/>
    </xf>
    <xf numFmtId="0" fontId="50" fillId="0" borderId="2" xfId="8" applyFont="1" applyBorder="1" applyAlignment="1">
      <alignment horizontal="center"/>
    </xf>
    <xf numFmtId="0" fontId="50" fillId="0" borderId="3" xfId="8" applyFont="1" applyBorder="1" applyAlignment="1">
      <alignment horizontal="center"/>
    </xf>
    <xf numFmtId="0" fontId="50" fillId="8" borderId="2" xfId="8" applyFont="1" applyFill="1" applyBorder="1" applyAlignment="1">
      <alignment horizontal="center"/>
    </xf>
    <xf numFmtId="166" fontId="53" fillId="8" borderId="2" xfId="0" applyNumberFormat="1" applyFont="1" applyFill="1" applyBorder="1" applyAlignment="1">
      <alignment vertical="top" wrapText="1"/>
    </xf>
    <xf numFmtId="167" fontId="53" fillId="8" borderId="2" xfId="0" applyNumberFormat="1" applyFont="1" applyFill="1" applyBorder="1" applyAlignment="1">
      <alignment vertical="top" wrapText="1"/>
    </xf>
    <xf numFmtId="0" fontId="44" fillId="0" borderId="39" xfId="0" applyFont="1" applyBorder="1" applyAlignment="1">
      <alignment horizontal="center" vertical="center"/>
    </xf>
    <xf numFmtId="0" fontId="50" fillId="8" borderId="3" xfId="8" applyFont="1" applyFill="1" applyBorder="1" applyAlignment="1">
      <alignment horizontal="center" vertical="center"/>
    </xf>
    <xf numFmtId="166" fontId="42" fillId="8" borderId="2" xfId="0" applyNumberFormat="1" applyFont="1" applyFill="1" applyBorder="1" applyAlignment="1">
      <alignment horizontal="left" vertical="center" wrapText="1"/>
    </xf>
    <xf numFmtId="0" fontId="50" fillId="8" borderId="3" xfId="8" applyFont="1" applyFill="1" applyBorder="1" applyAlignment="1">
      <alignment horizontal="center"/>
    </xf>
    <xf numFmtId="0" fontId="50" fillId="8" borderId="39" xfId="8" applyFont="1" applyFill="1" applyBorder="1" applyAlignment="1">
      <alignment horizontal="center"/>
    </xf>
    <xf numFmtId="0" fontId="50" fillId="0" borderId="39" xfId="8" applyFont="1" applyBorder="1" applyAlignment="1">
      <alignment horizontal="center"/>
    </xf>
  </cellXfs>
  <cellStyles count="22">
    <cellStyle name="Millares 2" xfId="9" xr:uid="{00000000-0005-0000-0000-000000000000}"/>
    <cellStyle name="Normal" xfId="0" builtinId="0"/>
    <cellStyle name="Normal 10" xfId="12" xr:uid="{00000000-0005-0000-0000-000002000000}"/>
    <cellStyle name="Normal 10 2" xfId="16" xr:uid="{00000000-0005-0000-0000-000003000000}"/>
    <cellStyle name="Normal 11" xfId="19" xr:uid="{2289CC5E-3E5F-4D48-A6E3-E592FEAA8C98}"/>
    <cellStyle name="Normal 12" xfId="20" xr:uid="{3E7D590E-0C8B-49DC-8346-B9AF779BB39B}"/>
    <cellStyle name="Normal 2" xfId="1" xr:uid="{00000000-0005-0000-0000-000004000000}"/>
    <cellStyle name="Normal 2 2" xfId="10" xr:uid="{00000000-0005-0000-0000-000005000000}"/>
    <cellStyle name="Normal 2 3" xfId="13" xr:uid="{00000000-0005-0000-0000-000006000000}"/>
    <cellStyle name="Normal 2 3 2" xfId="18" xr:uid="{00000000-0005-0000-0000-000007000000}"/>
    <cellStyle name="Normal 2 4" xfId="14" xr:uid="{00000000-0005-0000-0000-000008000000}"/>
    <cellStyle name="Normal 3" xfId="2" xr:uid="{00000000-0005-0000-0000-000009000000}"/>
    <cellStyle name="Normal 3 2" xfId="6" xr:uid="{00000000-0005-0000-0000-00000A000000}"/>
    <cellStyle name="Normal 3 3" xfId="15" xr:uid="{00000000-0005-0000-0000-00000B000000}"/>
    <cellStyle name="Normal 3 4" xfId="17" xr:uid="{00000000-0005-0000-0000-00000C000000}"/>
    <cellStyle name="Normal 3 4 2" xfId="21" xr:uid="{84051EFA-22BF-4F15-8468-AC6FC6687C76}"/>
    <cellStyle name="Normal 4" xfId="3" xr:uid="{00000000-0005-0000-0000-00000D000000}"/>
    <cellStyle name="Normal 5" xfId="4" xr:uid="{00000000-0005-0000-0000-00000E000000}"/>
    <cellStyle name="Normal 6" xfId="5" xr:uid="{00000000-0005-0000-0000-00000F000000}"/>
    <cellStyle name="Normal 7" xfId="7" xr:uid="{00000000-0005-0000-0000-000010000000}"/>
    <cellStyle name="Normal 8" xfId="8" xr:uid="{00000000-0005-0000-0000-000011000000}"/>
    <cellStyle name="Normal 9" xfId="11" xr:uid="{00000000-0005-0000-0000-000012000000}"/>
  </cellStyles>
  <dxfs count="15">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395937FC-BF44-4516-B7E9-861469522BF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82375" y="9525"/>
          <a:ext cx="1371600"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643CA291-08E7-4067-9C2A-EEBD1C97E7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0" y="9525"/>
          <a:ext cx="628650" cy="48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2514600</xdr:colOff>
      <xdr:row>0</xdr:row>
      <xdr:rowOff>0</xdr:rowOff>
    </xdr:from>
    <xdr:to>
      <xdr:col>7</xdr:col>
      <xdr:colOff>0</xdr:colOff>
      <xdr:row>1</xdr:row>
      <xdr:rowOff>295275</xdr:rowOff>
    </xdr:to>
    <xdr:pic>
      <xdr:nvPicPr>
        <xdr:cNvPr id="2" name="Imagen 1">
          <a:extLst>
            <a:ext uri="{FF2B5EF4-FFF2-40B4-BE49-F238E27FC236}">
              <a16:creationId xmlns:a16="http://schemas.microsoft.com/office/drawing/2014/main" id="{E01A3394-3373-438E-9746-838821300F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93550" y="0"/>
          <a:ext cx="1371600" cy="485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2514600</xdr:colOff>
      <xdr:row>0</xdr:row>
      <xdr:rowOff>19050</xdr:rowOff>
    </xdr:from>
    <xdr:to>
      <xdr:col>7</xdr:col>
      <xdr:colOff>0</xdr:colOff>
      <xdr:row>2</xdr:row>
      <xdr:rowOff>0</xdr:rowOff>
    </xdr:to>
    <xdr:pic>
      <xdr:nvPicPr>
        <xdr:cNvPr id="2" name="Imagen 1">
          <a:extLst>
            <a:ext uri="{FF2B5EF4-FFF2-40B4-BE49-F238E27FC236}">
              <a16:creationId xmlns:a16="http://schemas.microsoft.com/office/drawing/2014/main" id="{8A9A4DA8-363F-42B7-8DC2-62A68A13C9F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10550" y="19050"/>
          <a:ext cx="581025" cy="4857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F1262599-1AEB-4324-A37F-C3385C173B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0" y="9525"/>
          <a:ext cx="600075" cy="4857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2495550</xdr:colOff>
      <xdr:row>0</xdr:row>
      <xdr:rowOff>9525</xdr:rowOff>
    </xdr:from>
    <xdr:to>
      <xdr:col>6</xdr:col>
      <xdr:colOff>3867150</xdr:colOff>
      <xdr:row>1</xdr:row>
      <xdr:rowOff>304800</xdr:rowOff>
    </xdr:to>
    <xdr:pic>
      <xdr:nvPicPr>
        <xdr:cNvPr id="2" name="Imagen 1">
          <a:extLst>
            <a:ext uri="{FF2B5EF4-FFF2-40B4-BE49-F238E27FC236}">
              <a16:creationId xmlns:a16="http://schemas.microsoft.com/office/drawing/2014/main" id="{30DEC767-7910-4913-A16A-5C6764CBF0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0" y="9525"/>
          <a:ext cx="600075" cy="4857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2099733</xdr:colOff>
      <xdr:row>0</xdr:row>
      <xdr:rowOff>21167</xdr:rowOff>
    </xdr:from>
    <xdr:to>
      <xdr:col>6</xdr:col>
      <xdr:colOff>3471333</xdr:colOff>
      <xdr:row>1</xdr:row>
      <xdr:rowOff>316442</xdr:rowOff>
    </xdr:to>
    <xdr:pic>
      <xdr:nvPicPr>
        <xdr:cNvPr id="2" name="Imagen 1">
          <a:extLst>
            <a:ext uri="{FF2B5EF4-FFF2-40B4-BE49-F238E27FC236}">
              <a16:creationId xmlns:a16="http://schemas.microsoft.com/office/drawing/2014/main" id="{83FB9830-4276-4501-B303-2DE100D391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05208" y="21167"/>
          <a:ext cx="1000125" cy="4857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2099733</xdr:colOff>
      <xdr:row>0</xdr:row>
      <xdr:rowOff>21167</xdr:rowOff>
    </xdr:from>
    <xdr:to>
      <xdr:col>6</xdr:col>
      <xdr:colOff>3471333</xdr:colOff>
      <xdr:row>1</xdr:row>
      <xdr:rowOff>316442</xdr:rowOff>
    </xdr:to>
    <xdr:pic>
      <xdr:nvPicPr>
        <xdr:cNvPr id="2" name="Imagen 1">
          <a:extLst>
            <a:ext uri="{FF2B5EF4-FFF2-40B4-BE49-F238E27FC236}">
              <a16:creationId xmlns:a16="http://schemas.microsoft.com/office/drawing/2014/main" id="{7E87D681-A583-4205-A4A6-2A61F1D6E0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05208" y="21167"/>
          <a:ext cx="1000125" cy="4857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19051</xdr:colOff>
      <xdr:row>2</xdr:row>
      <xdr:rowOff>1</xdr:rowOff>
    </xdr:from>
    <xdr:to>
      <xdr:col>7</xdr:col>
      <xdr:colOff>342900</xdr:colOff>
      <xdr:row>3</xdr:row>
      <xdr:rowOff>76200</xdr:rowOff>
    </xdr:to>
    <xdr:sp macro="[0]!InfOperativo.InfOperativo" textlink="">
      <xdr:nvSpPr>
        <xdr:cNvPr id="2" name="Rectángulo: esquinas redondeadas 1">
          <a:extLst>
            <a:ext uri="{FF2B5EF4-FFF2-40B4-BE49-F238E27FC236}">
              <a16:creationId xmlns:a16="http://schemas.microsoft.com/office/drawing/2014/main" id="{A19E7B88-B350-470B-AA96-7C89B856AB87}"/>
            </a:ext>
          </a:extLst>
        </xdr:cNvPr>
        <xdr:cNvSpPr/>
      </xdr:nvSpPr>
      <xdr:spPr>
        <a:xfrm>
          <a:off x="8963026" y="352426"/>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47625</xdr:colOff>
      <xdr:row>1</xdr:row>
      <xdr:rowOff>171450</xdr:rowOff>
    </xdr:from>
    <xdr:to>
      <xdr:col>6</xdr:col>
      <xdr:colOff>1419224</xdr:colOff>
      <xdr:row>3</xdr:row>
      <xdr:rowOff>57149</xdr:rowOff>
    </xdr:to>
    <xdr:sp macro="[0]!infAdministrativo" textlink="">
      <xdr:nvSpPr>
        <xdr:cNvPr id="2" name="Rectángulo: esquinas redondeadas 1">
          <a:extLst>
            <a:ext uri="{FF2B5EF4-FFF2-40B4-BE49-F238E27FC236}">
              <a16:creationId xmlns:a16="http://schemas.microsoft.com/office/drawing/2014/main" id="{050798B7-E8DF-436C-8142-70A31E6EE86F}"/>
            </a:ext>
          </a:extLst>
        </xdr:cNvPr>
        <xdr:cNvSpPr/>
      </xdr:nvSpPr>
      <xdr:spPr>
        <a:xfrm>
          <a:off x="10925175" y="33337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2</xdr:row>
      <xdr:rowOff>0</xdr:rowOff>
    </xdr:from>
    <xdr:to>
      <xdr:col>6</xdr:col>
      <xdr:colOff>1371599</xdr:colOff>
      <xdr:row>3</xdr:row>
      <xdr:rowOff>76199</xdr:rowOff>
    </xdr:to>
    <xdr:sp macro="[0]!infSegFis" textlink="">
      <xdr:nvSpPr>
        <xdr:cNvPr id="2" name="Rectángulo: esquinas redondeadas 1">
          <a:extLst>
            <a:ext uri="{FF2B5EF4-FFF2-40B4-BE49-F238E27FC236}">
              <a16:creationId xmlns:a16="http://schemas.microsoft.com/office/drawing/2014/main" id="{4655A35D-D67A-477C-A3D9-A4ECD049748F}"/>
            </a:ext>
          </a:extLst>
        </xdr:cNvPr>
        <xdr:cNvSpPr/>
      </xdr:nvSpPr>
      <xdr:spPr>
        <a:xfrm>
          <a:off x="8943975" y="35242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9525</xdr:colOff>
      <xdr:row>2</xdr:row>
      <xdr:rowOff>0</xdr:rowOff>
    </xdr:from>
    <xdr:to>
      <xdr:col>6</xdr:col>
      <xdr:colOff>1381124</xdr:colOff>
      <xdr:row>3</xdr:row>
      <xdr:rowOff>76199</xdr:rowOff>
    </xdr:to>
    <xdr:sp macro="[0]!InfCaptaciones.InfCaptaciones" textlink="">
      <xdr:nvSpPr>
        <xdr:cNvPr id="2" name="Rectángulo: esquinas redondeadas 1">
          <a:extLst>
            <a:ext uri="{FF2B5EF4-FFF2-40B4-BE49-F238E27FC236}">
              <a16:creationId xmlns:a16="http://schemas.microsoft.com/office/drawing/2014/main" id="{D5556787-FA87-4546-9BE7-344F6F5DCCB8}"/>
            </a:ext>
          </a:extLst>
        </xdr:cNvPr>
        <xdr:cNvSpPr/>
      </xdr:nvSpPr>
      <xdr:spPr>
        <a:xfrm>
          <a:off x="10887075" y="35242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28575</xdr:colOff>
      <xdr:row>1</xdr:row>
      <xdr:rowOff>161925</xdr:rowOff>
    </xdr:from>
    <xdr:to>
      <xdr:col>6</xdr:col>
      <xdr:colOff>1400174</xdr:colOff>
      <xdr:row>3</xdr:row>
      <xdr:rowOff>47624</xdr:rowOff>
    </xdr:to>
    <xdr:sp macro="[0]!InfPuntoReclamo.infPuntoReclamo" textlink="">
      <xdr:nvSpPr>
        <xdr:cNvPr id="2" name="Rectángulo: esquinas redondeadas 1">
          <a:extLst>
            <a:ext uri="{FF2B5EF4-FFF2-40B4-BE49-F238E27FC236}">
              <a16:creationId xmlns:a16="http://schemas.microsoft.com/office/drawing/2014/main" id="{DB440BBF-6543-49E2-A023-57A1EB2BDE45}"/>
            </a:ext>
          </a:extLst>
        </xdr:cNvPr>
        <xdr:cNvSpPr/>
      </xdr:nvSpPr>
      <xdr:spPr>
        <a:xfrm>
          <a:off x="10906125" y="323850"/>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28575</xdr:colOff>
      <xdr:row>1</xdr:row>
      <xdr:rowOff>142875</xdr:rowOff>
    </xdr:from>
    <xdr:to>
      <xdr:col>6</xdr:col>
      <xdr:colOff>1400174</xdr:colOff>
      <xdr:row>3</xdr:row>
      <xdr:rowOff>28574</xdr:rowOff>
    </xdr:to>
    <xdr:sp macro="[0]!InfCanjeFraccionamiento.infCanjeFraccionamiento" textlink="">
      <xdr:nvSpPr>
        <xdr:cNvPr id="2" name="Rectángulo: esquinas redondeadas 1">
          <a:extLst>
            <a:ext uri="{FF2B5EF4-FFF2-40B4-BE49-F238E27FC236}">
              <a16:creationId xmlns:a16="http://schemas.microsoft.com/office/drawing/2014/main" id="{35DE9C8E-6582-46E4-9C8D-0224C3CD106D}"/>
            </a:ext>
          </a:extLst>
        </xdr:cNvPr>
        <xdr:cNvSpPr/>
      </xdr:nvSpPr>
      <xdr:spPr>
        <a:xfrm>
          <a:off x="10906125" y="304800"/>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38100</xdr:colOff>
      <xdr:row>1</xdr:row>
      <xdr:rowOff>171450</xdr:rowOff>
    </xdr:from>
    <xdr:to>
      <xdr:col>6</xdr:col>
      <xdr:colOff>1409699</xdr:colOff>
      <xdr:row>3</xdr:row>
      <xdr:rowOff>57149</xdr:rowOff>
    </xdr:to>
    <xdr:sp macro="[0]!InfContratos.InfContratos" textlink="">
      <xdr:nvSpPr>
        <xdr:cNvPr id="2" name="Rectángulo: esquinas redondeadas 1">
          <a:extLst>
            <a:ext uri="{FF2B5EF4-FFF2-40B4-BE49-F238E27FC236}">
              <a16:creationId xmlns:a16="http://schemas.microsoft.com/office/drawing/2014/main" id="{4DFAEF09-929A-4E8C-8A9A-6050A10138DC}"/>
            </a:ext>
          </a:extLst>
        </xdr:cNvPr>
        <xdr:cNvSpPr/>
      </xdr:nvSpPr>
      <xdr:spPr>
        <a:xfrm>
          <a:off x="10915650" y="333375"/>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38100</xdr:colOff>
      <xdr:row>1</xdr:row>
      <xdr:rowOff>161925</xdr:rowOff>
    </xdr:from>
    <xdr:to>
      <xdr:col>6</xdr:col>
      <xdr:colOff>1409699</xdr:colOff>
      <xdr:row>3</xdr:row>
      <xdr:rowOff>47624</xdr:rowOff>
    </xdr:to>
    <xdr:sp macro="[0]!InfBienesAdj.InfBienesAdj" textlink="">
      <xdr:nvSpPr>
        <xdr:cNvPr id="2" name="Rectángulo: esquinas redondeadas 1">
          <a:extLst>
            <a:ext uri="{FF2B5EF4-FFF2-40B4-BE49-F238E27FC236}">
              <a16:creationId xmlns:a16="http://schemas.microsoft.com/office/drawing/2014/main" id="{E3A80A7D-04EB-4E8B-9738-7A71129303F9}"/>
            </a:ext>
          </a:extLst>
        </xdr:cNvPr>
        <xdr:cNvSpPr/>
      </xdr:nvSpPr>
      <xdr:spPr>
        <a:xfrm>
          <a:off x="10915650" y="323850"/>
          <a:ext cx="1371599" cy="333374"/>
        </a:xfrm>
        <a:prstGeom prst="roundRect">
          <a:avLst/>
        </a:prstGeom>
        <a:solidFill>
          <a:srgbClr val="92D050"/>
        </a:solidFill>
        <a:ln>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ES" sz="1100" b="1">
              <a:solidFill>
                <a:sysClr val="windowText" lastClr="000000"/>
              </a:solidFill>
            </a:rPr>
            <a:t>GERENAR INFORME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466725</xdr:colOff>
      <xdr:row>0</xdr:row>
      <xdr:rowOff>0</xdr:rowOff>
    </xdr:from>
    <xdr:to>
      <xdr:col>3</xdr:col>
      <xdr:colOff>1762125</xdr:colOff>
      <xdr:row>2</xdr:row>
      <xdr:rowOff>66675</xdr:rowOff>
    </xdr:to>
    <xdr:pic>
      <xdr:nvPicPr>
        <xdr:cNvPr id="2" name="Imagen 1">
          <a:extLst>
            <a:ext uri="{FF2B5EF4-FFF2-40B4-BE49-F238E27FC236}">
              <a16:creationId xmlns:a16="http://schemas.microsoft.com/office/drawing/2014/main" id="{D38CD5CC-2EE7-4783-AE91-E291E654EA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10075" y="0"/>
          <a:ext cx="1295400" cy="46672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457200</xdr:colOff>
      <xdr:row>0</xdr:row>
      <xdr:rowOff>38100</xdr:rowOff>
    </xdr:from>
    <xdr:to>
      <xdr:col>13</xdr:col>
      <xdr:colOff>0</xdr:colOff>
      <xdr:row>2</xdr:row>
      <xdr:rowOff>245969</xdr:rowOff>
    </xdr:to>
    <xdr:pic>
      <xdr:nvPicPr>
        <xdr:cNvPr id="2" name="Imagen 2">
          <a:extLst>
            <a:ext uri="{FF2B5EF4-FFF2-40B4-BE49-F238E27FC236}">
              <a16:creationId xmlns:a16="http://schemas.microsoft.com/office/drawing/2014/main" id="{C943635E-0E80-4D7F-8F34-87EBE1BBBB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96150" y="38100"/>
          <a:ext cx="1295400" cy="588869"/>
        </a:xfrm>
        <a:prstGeom prst="rect">
          <a:avLst/>
        </a:prstGeom>
      </xdr:spPr>
    </xdr:pic>
    <xdr:clientData/>
  </xdr:twoCellAnchor>
  <xdr:twoCellAnchor editAs="oneCell">
    <xdr:from>
      <xdr:col>0</xdr:col>
      <xdr:colOff>0</xdr:colOff>
      <xdr:row>0</xdr:row>
      <xdr:rowOff>0</xdr:rowOff>
    </xdr:from>
    <xdr:to>
      <xdr:col>2</xdr:col>
      <xdr:colOff>247650</xdr:colOff>
      <xdr:row>2</xdr:row>
      <xdr:rowOff>142875</xdr:rowOff>
    </xdr:to>
    <xdr:pic>
      <xdr:nvPicPr>
        <xdr:cNvPr id="3" name="Imagen 1">
          <a:extLst>
            <a:ext uri="{FF2B5EF4-FFF2-40B4-BE49-F238E27FC236}">
              <a16:creationId xmlns:a16="http://schemas.microsoft.com/office/drawing/2014/main" id="{C404A839-4963-45D0-9607-BBEDA2C8E8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1771650" cy="523875"/>
        </a:xfrm>
        <a:prstGeom prst="rect">
          <a:avLst/>
        </a:prstGeom>
      </xdr:spPr>
    </xdr:pic>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B9FFF-B7C4-4D06-928B-ADCF327F20B1}">
  <sheetPr codeName="Hoja8"/>
  <dimension ref="A1:B14"/>
  <sheetViews>
    <sheetView workbookViewId="0">
      <selection activeCell="D2" sqref="D2"/>
    </sheetView>
  </sheetViews>
  <sheetFormatPr baseColWidth="10" defaultRowHeight="14.25" x14ac:dyDescent="0.2"/>
  <cols>
    <col min="1" max="1" width="6.25" bestFit="1" customWidth="1"/>
    <col min="2" max="2" width="32.75" bestFit="1" customWidth="1"/>
  </cols>
  <sheetData>
    <row r="1" spans="1:2" ht="15" thickBot="1" x14ac:dyDescent="0.25">
      <c r="A1" s="321" t="s">
        <v>470</v>
      </c>
      <c r="B1" s="322" t="s">
        <v>471</v>
      </c>
    </row>
    <row r="2" spans="1:2" ht="18.75" thickBot="1" x14ac:dyDescent="0.25">
      <c r="A2" s="323" t="s">
        <v>472</v>
      </c>
      <c r="B2" s="324" t="s">
        <v>473</v>
      </c>
    </row>
    <row r="3" spans="1:2" ht="18.75" thickBot="1" x14ac:dyDescent="0.25">
      <c r="A3" s="323" t="s">
        <v>474</v>
      </c>
      <c r="B3" s="324" t="s">
        <v>475</v>
      </c>
    </row>
    <row r="4" spans="1:2" ht="18.75" thickBot="1" x14ac:dyDescent="0.25">
      <c r="A4" s="323" t="s">
        <v>476</v>
      </c>
      <c r="B4" s="324" t="s">
        <v>477</v>
      </c>
    </row>
    <row r="5" spans="1:2" ht="18.75" thickBot="1" x14ac:dyDescent="0.25">
      <c r="A5" s="323" t="s">
        <v>478</v>
      </c>
      <c r="B5" s="324" t="s">
        <v>479</v>
      </c>
    </row>
    <row r="6" spans="1:2" ht="18.75" thickBot="1" x14ac:dyDescent="0.25">
      <c r="A6" s="323" t="s">
        <v>480</v>
      </c>
      <c r="B6" s="324" t="s">
        <v>481</v>
      </c>
    </row>
    <row r="7" spans="1:2" ht="18.75" thickBot="1" x14ac:dyDescent="0.25">
      <c r="A7" s="323" t="s">
        <v>482</v>
      </c>
      <c r="B7" s="324" t="s">
        <v>483</v>
      </c>
    </row>
    <row r="8" spans="1:2" ht="18.75" thickBot="1" x14ac:dyDescent="0.25">
      <c r="A8" s="323" t="s">
        <v>484</v>
      </c>
      <c r="B8" s="324" t="s">
        <v>485</v>
      </c>
    </row>
    <row r="9" spans="1:2" ht="18.75" thickBot="1" x14ac:dyDescent="0.25">
      <c r="A9" s="323" t="s">
        <v>486</v>
      </c>
      <c r="B9" s="324" t="s">
        <v>487</v>
      </c>
    </row>
    <row r="10" spans="1:2" ht="18.75" thickBot="1" x14ac:dyDescent="0.25">
      <c r="A10" s="323" t="s">
        <v>488</v>
      </c>
      <c r="B10" s="324" t="s">
        <v>489</v>
      </c>
    </row>
    <row r="11" spans="1:2" ht="18.75" thickBot="1" x14ac:dyDescent="0.25">
      <c r="A11" s="323" t="s">
        <v>490</v>
      </c>
      <c r="B11" s="324" t="s">
        <v>491</v>
      </c>
    </row>
    <row r="12" spans="1:2" ht="18.75" thickBot="1" x14ac:dyDescent="0.25">
      <c r="A12" s="323" t="s">
        <v>492</v>
      </c>
      <c r="B12" s="324" t="s">
        <v>493</v>
      </c>
    </row>
    <row r="13" spans="1:2" ht="18.75" thickBot="1" x14ac:dyDescent="0.25">
      <c r="A13" s="323" t="s">
        <v>494</v>
      </c>
      <c r="B13" s="324" t="s">
        <v>495</v>
      </c>
    </row>
    <row r="14" spans="1:2" ht="18.75" thickBot="1" x14ac:dyDescent="0.25">
      <c r="A14" s="323" t="s">
        <v>496</v>
      </c>
      <c r="B14" s="324" t="s">
        <v>497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J66"/>
  <sheetViews>
    <sheetView tabSelected="1" topLeftCell="A20" zoomScaleNormal="100" zoomScaleSheetLayoutView="100" workbookViewId="0">
      <selection activeCell="B23" sqref="B23"/>
    </sheetView>
  </sheetViews>
  <sheetFormatPr baseColWidth="10" defaultRowHeight="12.75" x14ac:dyDescent="0.2"/>
  <cols>
    <col min="1" max="1" width="4.375" style="175" customWidth="1"/>
    <col min="2" max="2" width="47.75" style="13" customWidth="1"/>
    <col min="3" max="3" width="255.625" style="23" hidden="1" customWidth="1"/>
    <col min="4" max="5" width="4.375" style="10" customWidth="1"/>
    <col min="6" max="6" width="13.875" style="10" customWidth="1"/>
    <col min="7" max="7" width="41" style="1" customWidth="1"/>
    <col min="8" max="16384" width="11" style="1"/>
  </cols>
  <sheetData>
    <row r="1" spans="1:8" ht="15" customHeight="1" x14ac:dyDescent="0.2">
      <c r="A1" s="329" t="s">
        <v>1</v>
      </c>
      <c r="B1" s="329"/>
      <c r="C1" s="329"/>
      <c r="D1" s="329"/>
      <c r="E1" s="329"/>
      <c r="F1" s="329"/>
      <c r="G1" s="329"/>
    </row>
    <row r="2" spans="1:8" ht="24.75" customHeight="1" x14ac:dyDescent="0.2">
      <c r="A2" s="329" t="s">
        <v>389</v>
      </c>
      <c r="B2" s="329"/>
      <c r="C2" s="329"/>
      <c r="D2" s="329"/>
      <c r="E2" s="329"/>
      <c r="F2" s="329"/>
      <c r="G2" s="329"/>
    </row>
    <row r="3" spans="1:8" ht="16.5" customHeight="1" x14ac:dyDescent="0.2">
      <c r="A3" s="29" t="s">
        <v>9</v>
      </c>
      <c r="B3" s="9"/>
      <c r="C3" s="21"/>
      <c r="D3" s="330">
        <f ca="1">TODAY()</f>
        <v>45405</v>
      </c>
      <c r="E3" s="331"/>
      <c r="F3" s="331"/>
      <c r="G3" s="331"/>
    </row>
    <row r="4" spans="1:8" ht="16.5" customHeight="1" x14ac:dyDescent="0.2">
      <c r="A4" s="29" t="s">
        <v>11</v>
      </c>
      <c r="B4" s="7"/>
      <c r="C4" s="21"/>
      <c r="D4" s="331"/>
      <c r="E4" s="331"/>
      <c r="F4" s="331"/>
      <c r="G4" s="331"/>
    </row>
    <row r="5" spans="1:8" ht="15" customHeight="1" x14ac:dyDescent="0.2">
      <c r="A5" s="29" t="s">
        <v>10</v>
      </c>
      <c r="B5" s="7"/>
      <c r="C5" s="21"/>
      <c r="D5" s="332"/>
      <c r="E5" s="332"/>
      <c r="F5" s="332"/>
      <c r="G5" s="332"/>
    </row>
    <row r="6" spans="1:8" s="16" customFormat="1" ht="15" customHeight="1" x14ac:dyDescent="0.2">
      <c r="A6" s="333" t="s">
        <v>3</v>
      </c>
      <c r="B6" s="334" t="s">
        <v>12</v>
      </c>
      <c r="C6" s="334" t="s">
        <v>13</v>
      </c>
      <c r="D6" s="334" t="s">
        <v>14</v>
      </c>
      <c r="E6" s="334"/>
      <c r="F6" s="334"/>
      <c r="G6" s="334" t="s">
        <v>4</v>
      </c>
    </row>
    <row r="7" spans="1:8" s="10" customFormat="1" ht="16.5" customHeight="1" x14ac:dyDescent="0.2">
      <c r="A7" s="333"/>
      <c r="B7" s="334"/>
      <c r="C7" s="334"/>
      <c r="D7" s="17" t="s">
        <v>0</v>
      </c>
      <c r="E7" s="17" t="s">
        <v>2</v>
      </c>
      <c r="F7" s="17" t="s">
        <v>274</v>
      </c>
      <c r="G7" s="334"/>
    </row>
    <row r="8" spans="1:8" ht="21" customHeight="1" x14ac:dyDescent="0.2">
      <c r="A8" s="250" t="s">
        <v>17</v>
      </c>
      <c r="B8" s="251"/>
      <c r="C8" s="252"/>
      <c r="D8" s="253"/>
      <c r="E8" s="253"/>
      <c r="F8" s="253"/>
      <c r="G8" s="253"/>
    </row>
    <row r="9" spans="1:8" ht="21" customHeight="1" x14ac:dyDescent="0.2">
      <c r="A9" s="254" t="s">
        <v>319</v>
      </c>
      <c r="B9" s="255"/>
      <c r="C9" s="256"/>
      <c r="D9" s="257"/>
      <c r="E9" s="257"/>
      <c r="F9" s="257"/>
      <c r="G9" s="257"/>
    </row>
    <row r="10" spans="1:8" ht="140.25" x14ac:dyDescent="0.2">
      <c r="A10" s="174">
        <v>1</v>
      </c>
      <c r="B10" s="11" t="s">
        <v>324</v>
      </c>
      <c r="C10" s="172" t="s">
        <v>323</v>
      </c>
      <c r="D10" s="202"/>
      <c r="E10" s="201"/>
      <c r="F10" s="8"/>
      <c r="G10" s="5"/>
      <c r="H10" s="1" t="s">
        <v>455</v>
      </c>
    </row>
    <row r="11" spans="1:8" ht="102" x14ac:dyDescent="0.2">
      <c r="A11" s="174">
        <f>+A10+1</f>
        <v>2</v>
      </c>
      <c r="B11" s="11" t="s">
        <v>69</v>
      </c>
      <c r="C11" s="172" t="s">
        <v>322</v>
      </c>
      <c r="D11" s="202"/>
      <c r="E11" s="201"/>
      <c r="F11" s="8"/>
      <c r="G11" s="5"/>
      <c r="H11" s="1" t="s">
        <v>455</v>
      </c>
    </row>
    <row r="12" spans="1:8" ht="76.5" x14ac:dyDescent="0.2">
      <c r="A12" s="174">
        <f t="shared" ref="A12:A18" si="0">+A11+1</f>
        <v>3</v>
      </c>
      <c r="B12" s="11" t="s">
        <v>320</v>
      </c>
      <c r="C12" s="172" t="s">
        <v>321</v>
      </c>
      <c r="D12" s="202"/>
      <c r="E12" s="201"/>
      <c r="F12" s="8"/>
      <c r="G12" s="5"/>
      <c r="H12" s="1" t="s">
        <v>456</v>
      </c>
    </row>
    <row r="13" spans="1:8" ht="38.25" x14ac:dyDescent="0.2">
      <c r="A13" s="174">
        <f t="shared" si="0"/>
        <v>4</v>
      </c>
      <c r="B13" s="27" t="s">
        <v>112</v>
      </c>
      <c r="C13" s="258" t="s">
        <v>326</v>
      </c>
      <c r="D13" s="202"/>
      <c r="E13" s="201" t="s">
        <v>484</v>
      </c>
      <c r="F13" s="8"/>
      <c r="G13" s="5"/>
      <c r="H13" s="1" t="s">
        <v>456</v>
      </c>
    </row>
    <row r="14" spans="1:8" ht="25.5" x14ac:dyDescent="0.2">
      <c r="A14" s="174">
        <f t="shared" si="0"/>
        <v>5</v>
      </c>
      <c r="B14" s="27" t="s">
        <v>70</v>
      </c>
      <c r="C14" s="258" t="s">
        <v>327</v>
      </c>
      <c r="D14" s="202"/>
      <c r="E14" s="201" t="s">
        <v>484</v>
      </c>
      <c r="F14" s="8"/>
      <c r="G14" s="5"/>
      <c r="H14" s="1" t="s">
        <v>456</v>
      </c>
    </row>
    <row r="15" spans="1:8" ht="102" x14ac:dyDescent="0.2">
      <c r="A15" s="174">
        <f t="shared" si="0"/>
        <v>6</v>
      </c>
      <c r="B15" s="11" t="s">
        <v>325</v>
      </c>
      <c r="C15" s="258" t="s">
        <v>328</v>
      </c>
      <c r="D15" s="202"/>
      <c r="E15" s="201"/>
      <c r="F15" s="8"/>
      <c r="G15" s="5"/>
      <c r="H15" s="1" t="s">
        <v>455</v>
      </c>
    </row>
    <row r="16" spans="1:8" ht="63.75" x14ac:dyDescent="0.2">
      <c r="A16" s="174">
        <f t="shared" si="0"/>
        <v>7</v>
      </c>
      <c r="B16" s="11" t="s">
        <v>71</v>
      </c>
      <c r="C16" s="172" t="s">
        <v>336</v>
      </c>
      <c r="D16" s="202"/>
      <c r="E16" s="201"/>
      <c r="F16" s="8"/>
      <c r="G16" s="5"/>
      <c r="H16" s="1" t="s">
        <v>456</v>
      </c>
    </row>
    <row r="17" spans="1:10" ht="38.25" x14ac:dyDescent="0.2">
      <c r="A17" s="174">
        <f t="shared" si="0"/>
        <v>8</v>
      </c>
      <c r="B17" s="11" t="s">
        <v>334</v>
      </c>
      <c r="C17" s="172" t="s">
        <v>337</v>
      </c>
      <c r="D17" s="202"/>
      <c r="E17" s="201" t="s">
        <v>484</v>
      </c>
      <c r="F17" s="8"/>
      <c r="G17" s="5"/>
      <c r="H17" s="1" t="s">
        <v>456</v>
      </c>
    </row>
    <row r="18" spans="1:10" ht="38.25" x14ac:dyDescent="0.2">
      <c r="A18" s="174">
        <f t="shared" si="0"/>
        <v>9</v>
      </c>
      <c r="B18" s="12" t="s">
        <v>335</v>
      </c>
      <c r="C18" s="172" t="s">
        <v>338</v>
      </c>
      <c r="D18" s="202"/>
      <c r="E18" s="201"/>
      <c r="F18" s="8"/>
      <c r="G18" s="5"/>
      <c r="H18" s="1" t="s">
        <v>457</v>
      </c>
    </row>
    <row r="19" spans="1:10" ht="27" x14ac:dyDescent="0.2">
      <c r="A19" s="254" t="s">
        <v>329</v>
      </c>
      <c r="B19" s="255"/>
      <c r="C19" s="259"/>
      <c r="D19" s="236"/>
      <c r="E19" s="237"/>
      <c r="F19" s="260"/>
      <c r="G19" s="261"/>
    </row>
    <row r="20" spans="1:10" ht="38.25" x14ac:dyDescent="0.2">
      <c r="A20" s="174">
        <f>+A18+1</f>
        <v>10</v>
      </c>
      <c r="B20" s="27" t="s">
        <v>423</v>
      </c>
      <c r="C20" s="172" t="s">
        <v>330</v>
      </c>
      <c r="D20" s="202"/>
      <c r="E20" s="201"/>
      <c r="F20" s="34"/>
      <c r="G20" s="35"/>
      <c r="H20" s="1" t="s">
        <v>456</v>
      </c>
    </row>
    <row r="21" spans="1:10" ht="51" x14ac:dyDescent="0.2">
      <c r="A21" s="174">
        <f>+A20+1</f>
        <v>11</v>
      </c>
      <c r="B21" s="11" t="s">
        <v>94</v>
      </c>
      <c r="C21" s="172" t="s">
        <v>331</v>
      </c>
      <c r="D21" s="202"/>
      <c r="E21" s="201" t="s">
        <v>484</v>
      </c>
      <c r="F21" s="8"/>
      <c r="G21" s="5"/>
      <c r="H21" s="1" t="s">
        <v>456</v>
      </c>
    </row>
    <row r="22" spans="1:10" ht="127.5" x14ac:dyDescent="0.2">
      <c r="A22" s="174">
        <f>+A21+1</f>
        <v>12</v>
      </c>
      <c r="B22" s="11" t="s">
        <v>333</v>
      </c>
      <c r="C22" s="172" t="s">
        <v>332</v>
      </c>
      <c r="D22" s="202"/>
      <c r="E22" s="201" t="s">
        <v>484</v>
      </c>
      <c r="F22" s="8"/>
      <c r="G22" s="5"/>
      <c r="H22" s="1" t="s">
        <v>456</v>
      </c>
    </row>
    <row r="23" spans="1:10" ht="27" x14ac:dyDescent="0.2">
      <c r="A23" s="262" t="s">
        <v>339</v>
      </c>
      <c r="B23" s="263"/>
      <c r="C23" s="264"/>
      <c r="D23" s="236"/>
      <c r="E23" s="237"/>
      <c r="F23" s="260"/>
      <c r="G23" s="261"/>
    </row>
    <row r="24" spans="1:10" ht="38.25" x14ac:dyDescent="0.2">
      <c r="A24" s="174">
        <f>+A22+1</f>
        <v>13</v>
      </c>
      <c r="B24" s="11" t="s">
        <v>229</v>
      </c>
      <c r="C24" s="172" t="s">
        <v>340</v>
      </c>
      <c r="D24" s="202"/>
      <c r="E24" s="201"/>
      <c r="F24" s="8"/>
      <c r="G24" s="5"/>
      <c r="H24" s="1" t="s">
        <v>459</v>
      </c>
    </row>
    <row r="25" spans="1:10" ht="27" x14ac:dyDescent="0.2">
      <c r="A25" s="262" t="s">
        <v>341</v>
      </c>
      <c r="B25" s="263"/>
      <c r="C25" s="264"/>
      <c r="D25" s="236"/>
      <c r="E25" s="237"/>
      <c r="F25" s="244"/>
      <c r="G25" s="263"/>
    </row>
    <row r="26" spans="1:10" s="239" customFormat="1" ht="45" customHeight="1" x14ac:dyDescent="0.2">
      <c r="A26" s="174">
        <v>14</v>
      </c>
      <c r="B26" s="11" t="s">
        <v>18</v>
      </c>
      <c r="C26" s="172" t="s">
        <v>350</v>
      </c>
      <c r="D26" s="229"/>
      <c r="E26" s="230"/>
      <c r="F26" s="178"/>
      <c r="G26" s="12"/>
      <c r="H26" s="1" t="s">
        <v>459</v>
      </c>
    </row>
    <row r="27" spans="1:10" ht="127.5" x14ac:dyDescent="0.2">
      <c r="A27" s="174">
        <f>+A26+1</f>
        <v>15</v>
      </c>
      <c r="B27" s="11" t="s">
        <v>413</v>
      </c>
      <c r="C27" s="172" t="s">
        <v>342</v>
      </c>
      <c r="D27" s="202"/>
      <c r="E27" s="201"/>
      <c r="F27" s="8"/>
      <c r="G27" s="5"/>
      <c r="H27" s="1" t="s">
        <v>459</v>
      </c>
    </row>
    <row r="28" spans="1:10" ht="30.75" customHeight="1" x14ac:dyDescent="0.2">
      <c r="A28" s="174">
        <f>+A27+1</f>
        <v>16</v>
      </c>
      <c r="B28" s="11" t="s">
        <v>351</v>
      </c>
      <c r="C28" s="172" t="s">
        <v>350</v>
      </c>
      <c r="D28" s="202"/>
      <c r="E28" s="201" t="s">
        <v>484</v>
      </c>
      <c r="F28" s="8"/>
      <c r="G28" s="5"/>
      <c r="H28" s="1" t="s">
        <v>456</v>
      </c>
    </row>
    <row r="29" spans="1:10" ht="178.5" x14ac:dyDescent="0.2">
      <c r="A29" s="174">
        <f t="shared" ref="A29:A38" si="1">+A28+1</f>
        <v>17</v>
      </c>
      <c r="B29" s="11" t="s">
        <v>346</v>
      </c>
      <c r="C29" s="172" t="s">
        <v>345</v>
      </c>
      <c r="D29" s="202"/>
      <c r="E29" s="201"/>
      <c r="F29" s="8"/>
      <c r="G29" s="5"/>
      <c r="H29" s="1" t="s">
        <v>459</v>
      </c>
    </row>
    <row r="30" spans="1:10" ht="63.75" x14ac:dyDescent="0.2">
      <c r="A30" s="174">
        <f t="shared" si="1"/>
        <v>18</v>
      </c>
      <c r="B30" s="11" t="s">
        <v>343</v>
      </c>
      <c r="C30" s="172" t="s">
        <v>344</v>
      </c>
      <c r="D30" s="202"/>
      <c r="E30" s="201"/>
      <c r="F30" s="8"/>
      <c r="G30" s="5"/>
      <c r="H30" s="1" t="s">
        <v>459</v>
      </c>
    </row>
    <row r="31" spans="1:10" ht="38.25" x14ac:dyDescent="0.2">
      <c r="A31" s="174">
        <f t="shared" si="1"/>
        <v>19</v>
      </c>
      <c r="B31" s="11" t="s">
        <v>348</v>
      </c>
      <c r="C31" s="172" t="s">
        <v>347</v>
      </c>
      <c r="D31" s="202"/>
      <c r="E31" s="201" t="s">
        <v>474</v>
      </c>
      <c r="F31" s="8"/>
      <c r="G31" s="5"/>
      <c r="H31" s="1" t="s">
        <v>459</v>
      </c>
      <c r="I31" s="1">
        <f>20000*6.86</f>
        <v>137200</v>
      </c>
      <c r="J31" s="1">
        <f>50000*6.86</f>
        <v>343000</v>
      </c>
    </row>
    <row r="32" spans="1:10" ht="63.75" x14ac:dyDescent="0.2">
      <c r="A32" s="174">
        <f t="shared" si="1"/>
        <v>20</v>
      </c>
      <c r="B32" s="11" t="s">
        <v>33</v>
      </c>
      <c r="C32" s="265" t="s">
        <v>349</v>
      </c>
      <c r="D32" s="202"/>
      <c r="E32" s="201"/>
      <c r="F32" s="8"/>
      <c r="G32" s="5"/>
      <c r="H32" s="1" t="s">
        <v>459</v>
      </c>
    </row>
    <row r="33" spans="1:8" ht="36.75" customHeight="1" x14ac:dyDescent="0.2">
      <c r="A33" s="174">
        <f t="shared" si="1"/>
        <v>21</v>
      </c>
      <c r="B33" s="11" t="s">
        <v>29</v>
      </c>
      <c r="C33" s="172" t="s">
        <v>350</v>
      </c>
      <c r="D33" s="202"/>
      <c r="E33" s="201"/>
      <c r="F33" s="8"/>
      <c r="G33" s="5"/>
      <c r="H33" s="1" t="s">
        <v>459</v>
      </c>
    </row>
    <row r="34" spans="1:8" ht="36.75" customHeight="1" x14ac:dyDescent="0.2">
      <c r="A34" s="174">
        <f t="shared" si="1"/>
        <v>22</v>
      </c>
      <c r="B34" s="11" t="s">
        <v>30</v>
      </c>
      <c r="C34" s="172" t="s">
        <v>350</v>
      </c>
      <c r="D34" s="202"/>
      <c r="E34" s="201"/>
      <c r="F34" s="8"/>
      <c r="G34" s="5"/>
      <c r="H34" s="1" t="s">
        <v>459</v>
      </c>
    </row>
    <row r="35" spans="1:8" ht="36.75" customHeight="1" x14ac:dyDescent="0.2">
      <c r="A35" s="174">
        <f t="shared" si="1"/>
        <v>23</v>
      </c>
      <c r="B35" s="11" t="s">
        <v>31</v>
      </c>
      <c r="C35" s="172" t="s">
        <v>350</v>
      </c>
      <c r="D35" s="202"/>
      <c r="E35" s="201"/>
      <c r="F35" s="8"/>
      <c r="G35" s="5"/>
      <c r="H35" s="1" t="s">
        <v>459</v>
      </c>
    </row>
    <row r="36" spans="1:8" ht="47.25" customHeight="1" x14ac:dyDescent="0.2">
      <c r="A36" s="174">
        <f t="shared" si="1"/>
        <v>24</v>
      </c>
      <c r="B36" s="11" t="s">
        <v>19</v>
      </c>
      <c r="C36" s="172" t="s">
        <v>350</v>
      </c>
      <c r="D36" s="202"/>
      <c r="E36" s="201"/>
      <c r="F36" s="8"/>
      <c r="G36" s="5"/>
      <c r="H36" s="1" t="s">
        <v>459</v>
      </c>
    </row>
    <row r="37" spans="1:8" s="2" customFormat="1" ht="47.25" customHeight="1" x14ac:dyDescent="0.2">
      <c r="A37" s="174">
        <f t="shared" si="1"/>
        <v>25</v>
      </c>
      <c r="B37" s="3" t="s">
        <v>6</v>
      </c>
      <c r="C37" s="172" t="s">
        <v>412</v>
      </c>
      <c r="D37" s="202"/>
      <c r="E37" s="201"/>
      <c r="F37" s="8"/>
      <c r="G37" s="24"/>
      <c r="H37" s="1" t="s">
        <v>459</v>
      </c>
    </row>
    <row r="38" spans="1:8" s="2" customFormat="1" ht="42" customHeight="1" x14ac:dyDescent="0.2">
      <c r="A38" s="174">
        <f t="shared" si="1"/>
        <v>26</v>
      </c>
      <c r="B38" s="3" t="s">
        <v>74</v>
      </c>
      <c r="C38" s="172" t="s">
        <v>411</v>
      </c>
      <c r="D38" s="202"/>
      <c r="E38" s="201"/>
      <c r="F38" s="6"/>
      <c r="G38" s="25"/>
      <c r="H38" s="1" t="s">
        <v>459</v>
      </c>
    </row>
    <row r="39" spans="1:8" ht="27" x14ac:dyDescent="0.2">
      <c r="A39" s="310" t="s">
        <v>23</v>
      </c>
      <c r="B39" s="311"/>
      <c r="C39" s="266"/>
      <c r="D39" s="312"/>
      <c r="E39" s="313"/>
      <c r="F39" s="314"/>
      <c r="G39" s="315"/>
    </row>
    <row r="40" spans="1:8" ht="25.5" x14ac:dyDescent="0.2">
      <c r="A40" s="174">
        <v>27</v>
      </c>
      <c r="B40" s="11" t="s">
        <v>113</v>
      </c>
      <c r="C40" s="172" t="s">
        <v>61</v>
      </c>
      <c r="D40" s="202"/>
      <c r="E40" s="201"/>
      <c r="F40" s="8"/>
      <c r="G40" s="8"/>
      <c r="H40" s="1" t="s">
        <v>458</v>
      </c>
    </row>
    <row r="41" spans="1:8" ht="51" x14ac:dyDescent="0.2">
      <c r="A41" s="174">
        <f>+A40+1</f>
        <v>28</v>
      </c>
      <c r="B41" s="11" t="s">
        <v>424</v>
      </c>
      <c r="C41" s="11" t="s">
        <v>253</v>
      </c>
      <c r="D41" s="202"/>
      <c r="E41" s="201"/>
      <c r="F41" s="8"/>
      <c r="G41" s="5"/>
      <c r="H41" s="1" t="s">
        <v>459</v>
      </c>
    </row>
    <row r="42" spans="1:8" ht="38.25" x14ac:dyDescent="0.2">
      <c r="A42" s="174">
        <f>+A41+1</f>
        <v>29</v>
      </c>
      <c r="B42" s="11" t="s">
        <v>5</v>
      </c>
      <c r="C42" s="11" t="s">
        <v>253</v>
      </c>
      <c r="D42" s="202"/>
      <c r="E42" s="201"/>
      <c r="F42" s="8"/>
      <c r="G42" s="5"/>
      <c r="H42" s="1" t="s">
        <v>459</v>
      </c>
    </row>
    <row r="43" spans="1:8" ht="27" x14ac:dyDescent="0.2">
      <c r="A43" s="267" t="s">
        <v>20</v>
      </c>
      <c r="B43" s="268"/>
      <c r="C43" s="269"/>
      <c r="D43" s="270"/>
      <c r="E43" s="271"/>
      <c r="F43" s="272"/>
      <c r="G43" s="268"/>
    </row>
    <row r="44" spans="1:8" ht="102" x14ac:dyDescent="0.2">
      <c r="A44" s="174">
        <f>+A42+1</f>
        <v>30</v>
      </c>
      <c r="B44" s="11" t="s">
        <v>249</v>
      </c>
      <c r="C44" s="172" t="s">
        <v>354</v>
      </c>
      <c r="D44" s="202"/>
      <c r="E44" s="201"/>
      <c r="F44" s="8"/>
      <c r="G44" s="5" t="s">
        <v>506</v>
      </c>
      <c r="H44" s="1" t="s">
        <v>459</v>
      </c>
    </row>
    <row r="45" spans="1:8" ht="51" x14ac:dyDescent="0.2">
      <c r="A45" s="174">
        <f>+A44+1</f>
        <v>31</v>
      </c>
      <c r="B45" s="11" t="s">
        <v>75</v>
      </c>
      <c r="C45" s="172" t="s">
        <v>62</v>
      </c>
      <c r="D45" s="202"/>
      <c r="E45" s="201"/>
      <c r="F45" s="8"/>
      <c r="G45" s="5"/>
      <c r="H45" s="1" t="s">
        <v>459</v>
      </c>
    </row>
    <row r="46" spans="1:8" ht="114.75" x14ac:dyDescent="0.2">
      <c r="A46" s="174">
        <f>+A45+1</f>
        <v>32</v>
      </c>
      <c r="B46" s="11" t="s">
        <v>76</v>
      </c>
      <c r="C46" s="172" t="s">
        <v>231</v>
      </c>
      <c r="D46" s="202"/>
      <c r="E46" s="201"/>
      <c r="F46" s="8"/>
      <c r="G46" s="5"/>
      <c r="H46" s="1" t="s">
        <v>459</v>
      </c>
    </row>
    <row r="47" spans="1:8" s="2" customFormat="1" x14ac:dyDescent="0.2">
      <c r="A47" s="273" t="s">
        <v>40</v>
      </c>
      <c r="B47" s="274"/>
      <c r="C47" s="275"/>
      <c r="D47" s="276"/>
      <c r="E47" s="276"/>
      <c r="F47" s="276"/>
      <c r="G47" s="277"/>
      <c r="H47" s="1"/>
    </row>
    <row r="48" spans="1:8" s="2" customFormat="1" ht="63.75" x14ac:dyDescent="0.2">
      <c r="A48" s="238">
        <f>+A46+1</f>
        <v>33</v>
      </c>
      <c r="B48" s="3" t="s">
        <v>276</v>
      </c>
      <c r="C48" s="3" t="s">
        <v>410</v>
      </c>
      <c r="D48" s="8"/>
      <c r="E48" s="201" t="s">
        <v>484</v>
      </c>
      <c r="F48" s="8"/>
      <c r="G48" s="24"/>
      <c r="H48" s="1" t="s">
        <v>459</v>
      </c>
    </row>
    <row r="49" spans="1:8" s="2" customFormat="1" ht="132" customHeight="1" x14ac:dyDescent="0.2">
      <c r="A49" s="6">
        <f>+A48+1</f>
        <v>34</v>
      </c>
      <c r="B49" s="3" t="s">
        <v>115</v>
      </c>
      <c r="C49" s="19" t="s">
        <v>409</v>
      </c>
      <c r="D49" s="202"/>
      <c r="E49" s="201" t="s">
        <v>484</v>
      </c>
      <c r="F49" s="6"/>
      <c r="G49" s="25"/>
      <c r="H49" s="1" t="s">
        <v>459</v>
      </c>
    </row>
    <row r="50" spans="1:8" s="2" customFormat="1" ht="62.25" customHeight="1" x14ac:dyDescent="0.2">
      <c r="A50" s="6">
        <f>+A49+1</f>
        <v>35</v>
      </c>
      <c r="B50" s="3" t="s">
        <v>275</v>
      </c>
      <c r="C50" s="19" t="s">
        <v>408</v>
      </c>
      <c r="D50" s="202"/>
      <c r="E50" s="201" t="s">
        <v>484</v>
      </c>
      <c r="F50" s="6"/>
      <c r="G50" s="25"/>
      <c r="H50" s="1" t="s">
        <v>459</v>
      </c>
    </row>
    <row r="51" spans="1:8" s="2" customFormat="1" ht="127.5" x14ac:dyDescent="0.2">
      <c r="A51" s="6">
        <f>+A50+1</f>
        <v>36</v>
      </c>
      <c r="B51" s="3" t="s">
        <v>116</v>
      </c>
      <c r="C51" s="3" t="s">
        <v>407</v>
      </c>
      <c r="D51" s="202"/>
      <c r="E51" s="201" t="s">
        <v>484</v>
      </c>
      <c r="F51" s="6"/>
      <c r="G51" s="25"/>
      <c r="H51" s="1" t="s">
        <v>459</v>
      </c>
    </row>
    <row r="52" spans="1:8" s="2" customFormat="1" ht="51" x14ac:dyDescent="0.2">
      <c r="A52" s="6">
        <f>+A51+1</f>
        <v>37</v>
      </c>
      <c r="B52" s="4" t="s">
        <v>47</v>
      </c>
      <c r="C52" s="19" t="s">
        <v>406</v>
      </c>
      <c r="D52" s="202"/>
      <c r="E52" s="201" t="s">
        <v>484</v>
      </c>
      <c r="F52" s="6"/>
      <c r="G52" s="24"/>
      <c r="H52" s="1" t="s">
        <v>459</v>
      </c>
    </row>
    <row r="53" spans="1:8" s="2" customFormat="1" ht="76.5" x14ac:dyDescent="0.2">
      <c r="A53" s="6">
        <f>+A52+1</f>
        <v>38</v>
      </c>
      <c r="B53" s="4" t="s">
        <v>48</v>
      </c>
      <c r="C53" s="19" t="s">
        <v>405</v>
      </c>
      <c r="D53" s="202"/>
      <c r="E53" s="201" t="s">
        <v>484</v>
      </c>
      <c r="F53" s="6"/>
      <c r="G53" s="25"/>
      <c r="H53" s="1" t="s">
        <v>459</v>
      </c>
    </row>
    <row r="54" spans="1:8" s="2" customFormat="1" x14ac:dyDescent="0.2">
      <c r="A54" s="273" t="s">
        <v>36</v>
      </c>
      <c r="B54" s="274"/>
      <c r="C54" s="275"/>
      <c r="D54" s="276"/>
      <c r="E54" s="276"/>
      <c r="F54" s="276"/>
      <c r="G54" s="277"/>
      <c r="H54" s="1"/>
    </row>
    <row r="55" spans="1:8" s="2" customFormat="1" ht="25.5" x14ac:dyDescent="0.2">
      <c r="A55" s="178">
        <f>+A53+1</f>
        <v>39</v>
      </c>
      <c r="B55" s="3" t="s">
        <v>37</v>
      </c>
      <c r="C55" s="28"/>
      <c r="D55" s="202"/>
      <c r="E55" s="201"/>
      <c r="F55" s="8"/>
      <c r="G55" s="24"/>
      <c r="H55" s="1" t="s">
        <v>457</v>
      </c>
    </row>
    <row r="56" spans="1:8" s="2" customFormat="1" ht="204" x14ac:dyDescent="0.2">
      <c r="A56" s="6">
        <f>+A55+1</f>
        <v>40</v>
      </c>
      <c r="B56" s="3" t="s">
        <v>44</v>
      </c>
      <c r="C56" s="28" t="s">
        <v>404</v>
      </c>
      <c r="D56" s="202"/>
      <c r="E56" s="201"/>
      <c r="F56" s="8"/>
      <c r="G56" s="24"/>
      <c r="H56" s="1" t="s">
        <v>457</v>
      </c>
    </row>
    <row r="57" spans="1:8" s="2" customFormat="1" ht="102" x14ac:dyDescent="0.2">
      <c r="A57" s="6">
        <f>+A56+1</f>
        <v>41</v>
      </c>
      <c r="B57" s="3" t="s">
        <v>54</v>
      </c>
      <c r="C57" s="28" t="s">
        <v>403</v>
      </c>
      <c r="D57" s="202"/>
      <c r="E57" s="201" t="s">
        <v>484</v>
      </c>
      <c r="F57" s="8"/>
      <c r="G57" s="24"/>
      <c r="H57" s="1" t="s">
        <v>459</v>
      </c>
    </row>
    <row r="58" spans="1:8" s="2" customFormat="1" x14ac:dyDescent="0.2">
      <c r="A58" s="273" t="s">
        <v>38</v>
      </c>
      <c r="B58" s="274"/>
      <c r="C58" s="275"/>
      <c r="D58" s="274"/>
      <c r="E58" s="274"/>
      <c r="F58" s="274"/>
      <c r="G58" s="277"/>
      <c r="H58" s="1"/>
    </row>
    <row r="59" spans="1:8" s="2" customFormat="1" ht="25.5" x14ac:dyDescent="0.2">
      <c r="A59" s="6">
        <f>+A57+1</f>
        <v>42</v>
      </c>
      <c r="B59" s="3" t="s">
        <v>39</v>
      </c>
      <c r="C59" s="28"/>
      <c r="D59" s="202"/>
      <c r="E59" s="201" t="s">
        <v>484</v>
      </c>
      <c r="F59" s="8"/>
      <c r="G59" s="24"/>
      <c r="H59" s="1" t="s">
        <v>498</v>
      </c>
    </row>
    <row r="60" spans="1:8" s="2" customFormat="1" ht="38.25" x14ac:dyDescent="0.2">
      <c r="A60" s="6">
        <f>+A59+1</f>
        <v>43</v>
      </c>
      <c r="B60" s="3" t="s">
        <v>55</v>
      </c>
      <c r="C60" s="28" t="s">
        <v>402</v>
      </c>
      <c r="D60" s="202"/>
      <c r="E60" s="201" t="s">
        <v>484</v>
      </c>
      <c r="F60" s="8"/>
      <c r="G60" s="24"/>
      <c r="H60" s="1" t="s">
        <v>498</v>
      </c>
    </row>
    <row r="61" spans="1:8" s="2" customFormat="1" ht="38.25" x14ac:dyDescent="0.2">
      <c r="A61" s="6">
        <f>+A60+1</f>
        <v>44</v>
      </c>
      <c r="B61" s="3" t="s">
        <v>45</v>
      </c>
      <c r="C61" s="28" t="s">
        <v>401</v>
      </c>
      <c r="D61" s="202"/>
      <c r="E61" s="201" t="s">
        <v>484</v>
      </c>
      <c r="F61" s="8"/>
      <c r="G61" s="24"/>
      <c r="H61" s="1" t="s">
        <v>459</v>
      </c>
    </row>
    <row r="62" spans="1:8" s="2" customFormat="1" x14ac:dyDescent="0.2">
      <c r="A62" s="273" t="s">
        <v>95</v>
      </c>
      <c r="B62" s="274"/>
      <c r="C62" s="275"/>
      <c r="D62" s="274"/>
      <c r="E62" s="274"/>
      <c r="F62" s="274"/>
      <c r="G62" s="277"/>
      <c r="H62" s="1"/>
    </row>
    <row r="63" spans="1:8" s="2" customFormat="1" ht="89.25" x14ac:dyDescent="0.2">
      <c r="A63" s="6">
        <f>+A61+1</f>
        <v>45</v>
      </c>
      <c r="B63" s="3" t="s">
        <v>46</v>
      </c>
      <c r="C63" s="28" t="s">
        <v>400</v>
      </c>
      <c r="D63" s="202"/>
      <c r="E63" s="201" t="s">
        <v>474</v>
      </c>
      <c r="F63" s="8"/>
      <c r="G63" s="24"/>
      <c r="H63" s="1" t="s">
        <v>459</v>
      </c>
    </row>
    <row r="64" spans="1:8" s="2" customFormat="1" ht="89.25" x14ac:dyDescent="0.2">
      <c r="A64" s="6">
        <f>+A63+1</f>
        <v>46</v>
      </c>
      <c r="B64" s="3" t="s">
        <v>42</v>
      </c>
      <c r="C64" s="28" t="s">
        <v>399</v>
      </c>
      <c r="D64" s="202"/>
      <c r="E64" s="201" t="s">
        <v>474</v>
      </c>
      <c r="F64" s="8"/>
      <c r="G64" s="24"/>
      <c r="H64" s="1" t="s">
        <v>459</v>
      </c>
    </row>
    <row r="65" spans="1:8" s="2" customFormat="1" x14ac:dyDescent="0.2">
      <c r="A65" s="273" t="s">
        <v>43</v>
      </c>
      <c r="B65" s="274"/>
      <c r="C65" s="275"/>
      <c r="D65" s="274"/>
      <c r="E65" s="274"/>
      <c r="F65" s="274"/>
      <c r="G65" s="277"/>
      <c r="H65" s="1"/>
    </row>
    <row r="66" spans="1:8" s="2" customFormat="1" ht="38.25" x14ac:dyDescent="0.2">
      <c r="A66" s="6">
        <f>+A64+1</f>
        <v>47</v>
      </c>
      <c r="B66" s="3" t="s">
        <v>65</v>
      </c>
      <c r="C66" s="19" t="s">
        <v>398</v>
      </c>
      <c r="D66" s="202"/>
      <c r="E66" s="201"/>
      <c r="F66" s="8"/>
      <c r="G66" s="24"/>
      <c r="H66" s="1" t="s">
        <v>458</v>
      </c>
    </row>
  </sheetData>
  <autoFilter ref="A8:H66" xr:uid="{00000000-0001-0000-0000-000000000000}"/>
  <mergeCells count="10">
    <mergeCell ref="A6:A7"/>
    <mergeCell ref="C6:C7"/>
    <mergeCell ref="D6:F6"/>
    <mergeCell ref="G6:G7"/>
    <mergeCell ref="B6:B7"/>
    <mergeCell ref="A1:G1"/>
    <mergeCell ref="A2:G2"/>
    <mergeCell ref="D3:G3"/>
    <mergeCell ref="D4:G4"/>
    <mergeCell ref="D5:G5"/>
  </mergeCells>
  <dataValidations count="2">
    <dataValidation type="list" allowBlank="1" showInputMessage="1" showErrorMessage="1" sqref="E20:E22 E66 E40:E42 E44:E46 E10:E18 E24 E26:E38 E55:E57 E59:E61 E63:E64 E48:E53" xr:uid="{ADBB9C74-7D18-495F-B3C3-CB0CF97CE803}">
      <formula1>"],√,ŧ,п,Ʃ,€,?,µ,ʘ,₸,ẽ,ɑ"</formula1>
    </dataValidation>
    <dataValidation type="custom" allowBlank="1" showInputMessage="1" showErrorMessage="1" errorTitle="ERROR" error="Debe poner N/A" sqref="D66 D49:D53 D55:D57 D59:D61 D63:D64 D10:D46" xr:uid="{71517E21-5D6E-4A2E-AEC0-E2AAA58802DF}">
      <formula1>AND(D10="N/A")</formula1>
    </dataValidation>
  </dataValidations>
  <pageMargins left="0.9055118110236221" right="0.59055118110236227" top="0.74803149606299213" bottom="0.6692913385826772" header="0.31496062992125984" footer="0.6692913385826772"/>
  <pageSetup scale="66" fitToWidth="0" fitToHeight="0" orientation="portrait" r:id="rId1"/>
  <headerFooter scaleWithDoc="0" alignWithMargins="0"/>
  <rowBreaks count="2" manualBreakCount="2">
    <brk id="41" max="6" man="1"/>
    <brk id="53" max="6"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D1EAA-061B-41DA-914B-24C677BCE573}">
  <sheetPr codeName="Hoja15"/>
  <dimension ref="A1:H20"/>
  <sheetViews>
    <sheetView topLeftCell="A11" zoomScaleNormal="100" zoomScaleSheetLayoutView="100" workbookViewId="0">
      <selection activeCell="B14" sqref="B14"/>
    </sheetView>
  </sheetViews>
  <sheetFormatPr baseColWidth="10" defaultRowHeight="12.75" x14ac:dyDescent="0.2"/>
  <cols>
    <col min="1" max="1" width="4.375" style="175" customWidth="1"/>
    <col min="2" max="2" width="47.75" style="13" customWidth="1"/>
    <col min="3" max="3" width="212.625" style="23" hidden="1" customWidth="1"/>
    <col min="4" max="5" width="4.375" style="10" customWidth="1"/>
    <col min="6" max="6" width="13.875" style="10" customWidth="1"/>
    <col min="7" max="7" width="41" style="1" customWidth="1"/>
    <col min="8" max="16384" width="11" style="1"/>
  </cols>
  <sheetData>
    <row r="1" spans="1:8" ht="15" customHeight="1" x14ac:dyDescent="0.2">
      <c r="A1" s="329" t="s">
        <v>1</v>
      </c>
      <c r="B1" s="329"/>
      <c r="C1" s="329"/>
      <c r="D1" s="329"/>
      <c r="E1" s="329"/>
      <c r="F1" s="329"/>
      <c r="G1" s="329"/>
    </row>
    <row r="2" spans="1:8" ht="24.75" customHeight="1" x14ac:dyDescent="0.2">
      <c r="A2" s="329" t="s">
        <v>414</v>
      </c>
      <c r="B2" s="329"/>
      <c r="C2" s="329"/>
      <c r="D2" s="329"/>
      <c r="E2" s="329"/>
      <c r="F2" s="329"/>
      <c r="G2" s="329"/>
    </row>
    <row r="3" spans="1:8" ht="16.5" customHeight="1" x14ac:dyDescent="0.2">
      <c r="A3" s="29" t="s">
        <v>9</v>
      </c>
      <c r="B3" s="9"/>
      <c r="C3" s="21"/>
      <c r="D3" s="330">
        <f ca="1">+FormOperativo!D3</f>
        <v>45405</v>
      </c>
      <c r="E3" s="331"/>
      <c r="F3" s="331"/>
      <c r="G3" s="331"/>
    </row>
    <row r="4" spans="1:8" ht="16.5" customHeight="1" x14ac:dyDescent="0.2">
      <c r="A4" s="29" t="s">
        <v>11</v>
      </c>
      <c r="B4" s="7"/>
      <c r="C4" s="21"/>
      <c r="D4" s="330">
        <f>+FormOperativo!D4</f>
        <v>0</v>
      </c>
      <c r="E4" s="331"/>
      <c r="F4" s="331"/>
      <c r="G4" s="331"/>
    </row>
    <row r="5" spans="1:8" ht="15" customHeight="1" x14ac:dyDescent="0.2">
      <c r="A5" s="29" t="s">
        <v>10</v>
      </c>
      <c r="B5" s="7"/>
      <c r="C5" s="21"/>
      <c r="D5" s="330">
        <f>+FormOperativo!D5</f>
        <v>0</v>
      </c>
      <c r="E5" s="331"/>
      <c r="F5" s="331"/>
      <c r="G5" s="331"/>
    </row>
    <row r="6" spans="1:8" s="16" customFormat="1" ht="15" customHeight="1" x14ac:dyDescent="0.2">
      <c r="A6" s="333" t="s">
        <v>3</v>
      </c>
      <c r="B6" s="334" t="s">
        <v>12</v>
      </c>
      <c r="C6" s="334" t="s">
        <v>13</v>
      </c>
      <c r="D6" s="334" t="s">
        <v>14</v>
      </c>
      <c r="E6" s="334"/>
      <c r="F6" s="334"/>
      <c r="G6" s="334" t="s">
        <v>4</v>
      </c>
    </row>
    <row r="7" spans="1:8" s="10" customFormat="1" ht="16.5" customHeight="1" x14ac:dyDescent="0.2">
      <c r="A7" s="333"/>
      <c r="B7" s="334"/>
      <c r="C7" s="334"/>
      <c r="D7" s="17" t="s">
        <v>0</v>
      </c>
      <c r="E7" s="17" t="s">
        <v>2</v>
      </c>
      <c r="F7" s="17" t="s">
        <v>274</v>
      </c>
      <c r="G7" s="334"/>
    </row>
    <row r="8" spans="1:8" ht="21" customHeight="1" x14ac:dyDescent="0.2">
      <c r="A8" s="262" t="s">
        <v>24</v>
      </c>
      <c r="B8" s="263"/>
      <c r="C8" s="264"/>
      <c r="D8" s="236"/>
      <c r="E8" s="237"/>
      <c r="F8" s="278"/>
      <c r="G8" s="279"/>
    </row>
    <row r="9" spans="1:8" ht="53.25" customHeight="1" x14ac:dyDescent="0.2">
      <c r="A9" s="174">
        <v>1</v>
      </c>
      <c r="B9" s="11" t="s">
        <v>35</v>
      </c>
      <c r="C9" s="172" t="s">
        <v>59</v>
      </c>
      <c r="D9" s="202"/>
      <c r="E9" s="201"/>
      <c r="F9" s="8"/>
      <c r="G9" s="5"/>
      <c r="H9" s="1" t="s">
        <v>459</v>
      </c>
    </row>
    <row r="10" spans="1:8" ht="39" customHeight="1" x14ac:dyDescent="0.2">
      <c r="A10" s="174">
        <f>+A9+1</f>
        <v>2</v>
      </c>
      <c r="B10" s="11" t="s">
        <v>77</v>
      </c>
      <c r="C10" s="172" t="s">
        <v>230</v>
      </c>
      <c r="D10" s="202"/>
      <c r="E10" s="201"/>
      <c r="F10" s="8"/>
      <c r="G10" s="5"/>
      <c r="H10" s="1" t="s">
        <v>499</v>
      </c>
    </row>
    <row r="11" spans="1:8" ht="114.75" customHeight="1" x14ac:dyDescent="0.2">
      <c r="A11" s="174">
        <f>+A10+1</f>
        <v>3</v>
      </c>
      <c r="B11" s="12" t="s">
        <v>352</v>
      </c>
      <c r="C11" s="172" t="s">
        <v>353</v>
      </c>
      <c r="D11" s="202"/>
      <c r="E11" s="201"/>
      <c r="F11" s="8"/>
      <c r="G11" s="5"/>
      <c r="H11" s="1" t="s">
        <v>459</v>
      </c>
    </row>
    <row r="12" spans="1:8" ht="60.75" customHeight="1" x14ac:dyDescent="0.2">
      <c r="A12" s="174">
        <f>+A11+1</f>
        <v>4</v>
      </c>
      <c r="B12" s="12" t="s">
        <v>22</v>
      </c>
      <c r="C12" s="172" t="s">
        <v>60</v>
      </c>
      <c r="D12" s="202"/>
      <c r="E12" s="201" t="s">
        <v>484</v>
      </c>
      <c r="F12" s="8"/>
      <c r="G12" s="5"/>
      <c r="H12" s="1" t="s">
        <v>500</v>
      </c>
    </row>
    <row r="13" spans="1:8" ht="100.5" customHeight="1" x14ac:dyDescent="0.2">
      <c r="A13" s="174">
        <f>+A12+1</f>
        <v>5</v>
      </c>
      <c r="B13" s="12" t="s">
        <v>52</v>
      </c>
      <c r="C13" s="172" t="s">
        <v>350</v>
      </c>
      <c r="D13" s="202"/>
      <c r="E13" s="201"/>
      <c r="F13" s="8"/>
      <c r="G13" s="5"/>
      <c r="H13" s="1" t="s">
        <v>459</v>
      </c>
    </row>
    <row r="14" spans="1:8" ht="18" customHeight="1" x14ac:dyDescent="0.2">
      <c r="A14" s="267" t="s">
        <v>25</v>
      </c>
      <c r="B14" s="268"/>
      <c r="C14" s="269"/>
      <c r="D14" s="270"/>
      <c r="E14" s="271"/>
      <c r="F14" s="272"/>
      <c r="G14" s="268"/>
    </row>
    <row r="15" spans="1:8" ht="18" customHeight="1" x14ac:dyDescent="0.2">
      <c r="A15" s="262" t="s">
        <v>26</v>
      </c>
      <c r="B15" s="263"/>
      <c r="C15" s="264"/>
      <c r="D15" s="236"/>
      <c r="E15" s="237"/>
      <c r="F15" s="244"/>
      <c r="G15" s="263"/>
    </row>
    <row r="16" spans="1:8" ht="30" customHeight="1" x14ac:dyDescent="0.2">
      <c r="A16" s="174">
        <f>+A13+1</f>
        <v>6</v>
      </c>
      <c r="B16" s="11" t="s">
        <v>82</v>
      </c>
      <c r="C16" s="172" t="s">
        <v>355</v>
      </c>
      <c r="D16" s="202"/>
      <c r="E16" s="201" t="s">
        <v>474</v>
      </c>
      <c r="F16" s="8"/>
      <c r="G16" s="5"/>
      <c r="H16" s="1" t="s">
        <v>459</v>
      </c>
    </row>
    <row r="17" spans="1:8" ht="25.5" x14ac:dyDescent="0.2">
      <c r="A17" s="174">
        <f>+A16+1</f>
        <v>7</v>
      </c>
      <c r="B17" s="11" t="s">
        <v>21</v>
      </c>
      <c r="C17" s="11" t="s">
        <v>356</v>
      </c>
      <c r="D17" s="202"/>
      <c r="E17" s="201" t="s">
        <v>484</v>
      </c>
      <c r="F17" s="8"/>
      <c r="G17" s="5"/>
      <c r="H17" s="1" t="s">
        <v>458</v>
      </c>
    </row>
    <row r="18" spans="1:8" ht="52.5" customHeight="1" x14ac:dyDescent="0.2">
      <c r="A18" s="174">
        <f>+A17+1</f>
        <v>8</v>
      </c>
      <c r="B18" s="11" t="s">
        <v>357</v>
      </c>
      <c r="C18" s="11" t="s">
        <v>358</v>
      </c>
      <c r="D18" s="202"/>
      <c r="E18" s="201" t="s">
        <v>484</v>
      </c>
      <c r="F18" s="8"/>
      <c r="G18" s="5"/>
      <c r="H18" s="1" t="s">
        <v>457</v>
      </c>
    </row>
    <row r="19" spans="1:8" ht="21" customHeight="1" x14ac:dyDescent="0.2">
      <c r="A19" s="262" t="s">
        <v>27</v>
      </c>
      <c r="B19" s="263"/>
      <c r="C19" s="264"/>
      <c r="D19" s="236"/>
      <c r="E19" s="237"/>
      <c r="F19" s="260"/>
      <c r="G19" s="261"/>
    </row>
    <row r="20" spans="1:8" ht="25.5" x14ac:dyDescent="0.2">
      <c r="A20" s="174">
        <f>+A18+1</f>
        <v>9</v>
      </c>
      <c r="B20" s="11" t="s">
        <v>114</v>
      </c>
      <c r="C20" s="280" t="s">
        <v>232</v>
      </c>
      <c r="D20" s="202"/>
      <c r="E20" s="201"/>
      <c r="F20" s="8"/>
      <c r="G20" s="5"/>
      <c r="H20" s="1" t="s">
        <v>457</v>
      </c>
    </row>
  </sheetData>
  <autoFilter ref="A8:H20" xr:uid="{663D1EAA-061B-41DA-914B-24C677BCE573}"/>
  <mergeCells count="10">
    <mergeCell ref="A6:A7"/>
    <mergeCell ref="B6:B7"/>
    <mergeCell ref="C6:C7"/>
    <mergeCell ref="D6:F6"/>
    <mergeCell ref="G6:G7"/>
    <mergeCell ref="A1:G1"/>
    <mergeCell ref="A2:G2"/>
    <mergeCell ref="D3:G3"/>
    <mergeCell ref="D4:G4"/>
    <mergeCell ref="D5:G5"/>
  </mergeCells>
  <dataValidations count="2">
    <dataValidation type="list" allowBlank="1" showInputMessage="1" showErrorMessage="1" sqref="E20 E16:E18 E9:E13" xr:uid="{C4FC7514-2ADB-4242-993B-1C91F88E6CF0}">
      <formula1>"],√,ŧ,п,Ʃ,€,?,µ,ʘ,₸,ẽ,ɑ"</formula1>
    </dataValidation>
    <dataValidation type="custom" allowBlank="1" showInputMessage="1" showErrorMessage="1" errorTitle="ERROR" error="Debe poner N/A" sqref="D8:D20" xr:uid="{9DF97921-8358-4C9E-B974-8AF100FCBD18}">
      <formula1>AND(D8="N/A")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J33"/>
  <sheetViews>
    <sheetView topLeftCell="A29" zoomScaleNormal="100" zoomScaleSheetLayoutView="90" workbookViewId="0">
      <selection activeCell="E29" sqref="E29"/>
    </sheetView>
  </sheetViews>
  <sheetFormatPr baseColWidth="10" defaultRowHeight="12.75" x14ac:dyDescent="0.2"/>
  <cols>
    <col min="1" max="1" width="4.375" style="13" customWidth="1"/>
    <col min="2" max="2" width="47.75" style="13" customWidth="1"/>
    <col min="3" max="3" width="255.625" style="59" hidden="1" customWidth="1"/>
    <col min="4" max="5" width="4.375" style="10" customWidth="1"/>
    <col min="6" max="6" width="13.875" style="10" customWidth="1"/>
    <col min="7" max="7" width="40.625" style="1" customWidth="1"/>
    <col min="8" max="16384" width="11" style="1"/>
  </cols>
  <sheetData>
    <row r="1" spans="1:8" ht="15" customHeight="1" x14ac:dyDescent="0.2">
      <c r="A1" s="329" t="s">
        <v>1</v>
      </c>
      <c r="B1" s="329"/>
      <c r="C1" s="329"/>
      <c r="D1" s="329"/>
      <c r="E1" s="329"/>
      <c r="F1" s="329"/>
      <c r="G1" s="329"/>
    </row>
    <row r="2" spans="1:8" ht="24.75" customHeight="1" x14ac:dyDescent="0.2">
      <c r="A2" s="329" t="s">
        <v>15</v>
      </c>
      <c r="B2" s="329"/>
      <c r="C2" s="329"/>
      <c r="D2" s="329"/>
      <c r="E2" s="329"/>
      <c r="F2" s="329"/>
      <c r="G2" s="329"/>
    </row>
    <row r="3" spans="1:8" ht="16.5" customHeight="1" x14ac:dyDescent="0.2">
      <c r="A3" s="40" t="s">
        <v>9</v>
      </c>
      <c r="B3" s="31"/>
      <c r="C3" s="53"/>
      <c r="D3" s="336">
        <f ca="1">+FormOperativo!D3</f>
        <v>45405</v>
      </c>
      <c r="E3" s="337"/>
      <c r="F3" s="337"/>
      <c r="G3" s="337"/>
    </row>
    <row r="4" spans="1:8" ht="16.5" customHeight="1" x14ac:dyDescent="0.2">
      <c r="A4" s="40" t="s">
        <v>11</v>
      </c>
      <c r="B4" s="40"/>
      <c r="C4" s="53"/>
      <c r="D4" s="337">
        <f>+FormOperativo!D4</f>
        <v>0</v>
      </c>
      <c r="E4" s="337"/>
      <c r="F4" s="337"/>
      <c r="G4" s="337"/>
    </row>
    <row r="5" spans="1:8" ht="15" customHeight="1" x14ac:dyDescent="0.2">
      <c r="A5" s="40" t="s">
        <v>10</v>
      </c>
      <c r="B5" s="40"/>
      <c r="C5" s="54"/>
      <c r="D5" s="335">
        <f>+FormOperativo!D5</f>
        <v>0</v>
      </c>
      <c r="E5" s="335"/>
      <c r="F5" s="335"/>
      <c r="G5" s="335"/>
    </row>
    <row r="6" spans="1:8" s="16" customFormat="1" ht="18.75" customHeight="1" x14ac:dyDescent="0.2">
      <c r="A6" s="338" t="s">
        <v>41</v>
      </c>
      <c r="B6" s="338" t="s">
        <v>12</v>
      </c>
      <c r="C6" s="338" t="s">
        <v>13</v>
      </c>
      <c r="D6" s="338" t="s">
        <v>14</v>
      </c>
      <c r="E6" s="338"/>
      <c r="F6" s="338"/>
      <c r="G6" s="338" t="s">
        <v>4</v>
      </c>
    </row>
    <row r="7" spans="1:8" s="10" customFormat="1" ht="16.5" customHeight="1" x14ac:dyDescent="0.2">
      <c r="A7" s="338"/>
      <c r="B7" s="338"/>
      <c r="C7" s="338"/>
      <c r="D7" s="17" t="s">
        <v>0</v>
      </c>
      <c r="E7" s="17" t="s">
        <v>2</v>
      </c>
      <c r="F7" s="17" t="s">
        <v>274</v>
      </c>
      <c r="G7" s="338"/>
    </row>
    <row r="8" spans="1:8" ht="18" customHeight="1" x14ac:dyDescent="0.2">
      <c r="A8" s="240" t="s">
        <v>49</v>
      </c>
      <c r="B8" s="240"/>
      <c r="C8" s="241"/>
      <c r="D8" s="242"/>
      <c r="E8" s="242"/>
      <c r="F8" s="242"/>
      <c r="G8" s="243"/>
    </row>
    <row r="9" spans="1:8" ht="18" customHeight="1" x14ac:dyDescent="0.2">
      <c r="A9" s="244" t="s">
        <v>66</v>
      </c>
      <c r="B9" s="244"/>
      <c r="C9" s="245"/>
      <c r="D9" s="246"/>
      <c r="E9" s="246"/>
      <c r="F9" s="246"/>
      <c r="G9" s="247"/>
    </row>
    <row r="10" spans="1:8" ht="39" customHeight="1" x14ac:dyDescent="0.2">
      <c r="A10" s="6">
        <v>1</v>
      </c>
      <c r="B10" s="4" t="s">
        <v>233</v>
      </c>
      <c r="C10" s="18" t="s">
        <v>104</v>
      </c>
      <c r="D10" s="202"/>
      <c r="E10" s="201" t="s">
        <v>484</v>
      </c>
      <c r="F10" s="6"/>
      <c r="G10" s="5"/>
      <c r="H10" s="1" t="s">
        <v>459</v>
      </c>
    </row>
    <row r="11" spans="1:8" ht="18" customHeight="1" x14ac:dyDescent="0.2">
      <c r="A11" s="244" t="s">
        <v>385</v>
      </c>
      <c r="B11" s="244"/>
      <c r="C11" s="245"/>
      <c r="D11" s="246"/>
      <c r="E11" s="246"/>
      <c r="F11" s="246"/>
      <c r="G11" s="247"/>
    </row>
    <row r="12" spans="1:8" ht="53.25" customHeight="1" x14ac:dyDescent="0.2">
      <c r="A12" s="6">
        <f>+A10+1</f>
        <v>2</v>
      </c>
      <c r="B12" s="4" t="s">
        <v>383</v>
      </c>
      <c r="C12" s="18" t="s">
        <v>384</v>
      </c>
      <c r="D12" s="202"/>
      <c r="E12" s="201" t="s">
        <v>484</v>
      </c>
      <c r="F12" s="6"/>
      <c r="G12" s="5"/>
      <c r="H12" s="1" t="s">
        <v>459</v>
      </c>
    </row>
    <row r="13" spans="1:8" ht="18" customHeight="1" x14ac:dyDescent="0.2">
      <c r="A13" s="244" t="s">
        <v>386</v>
      </c>
      <c r="B13" s="244"/>
      <c r="C13" s="245"/>
      <c r="D13" s="246"/>
      <c r="E13" s="246"/>
      <c r="F13" s="246"/>
      <c r="G13" s="247"/>
    </row>
    <row r="14" spans="1:8" ht="140.25" customHeight="1" x14ac:dyDescent="0.2">
      <c r="A14" s="6">
        <f>+A12+1</f>
        <v>3</v>
      </c>
      <c r="B14" s="3" t="s">
        <v>365</v>
      </c>
      <c r="C14" s="233" t="s">
        <v>370</v>
      </c>
      <c r="D14" s="202"/>
      <c r="E14" s="201" t="s">
        <v>504</v>
      </c>
      <c r="F14" s="6"/>
      <c r="G14" s="5"/>
      <c r="H14" s="1" t="s">
        <v>458</v>
      </c>
    </row>
    <row r="15" spans="1:8" ht="47.25" customHeight="1" x14ac:dyDescent="0.2">
      <c r="A15" s="6">
        <f>+A14+1</f>
        <v>4</v>
      </c>
      <c r="B15" s="3" t="s">
        <v>366</v>
      </c>
      <c r="C15" s="233" t="s">
        <v>377</v>
      </c>
      <c r="D15" s="202"/>
      <c r="E15" s="201"/>
      <c r="F15" s="6"/>
      <c r="G15" s="5"/>
      <c r="H15" s="1" t="s">
        <v>457</v>
      </c>
    </row>
    <row r="16" spans="1:8" ht="49.5" customHeight="1" x14ac:dyDescent="0.2">
      <c r="A16" s="6">
        <f t="shared" ref="A16:A22" si="0">+A15+1</f>
        <v>5</v>
      </c>
      <c r="B16" s="3" t="s">
        <v>367</v>
      </c>
      <c r="C16" s="233" t="s">
        <v>378</v>
      </c>
      <c r="D16" s="202"/>
      <c r="E16" s="201" t="s">
        <v>504</v>
      </c>
      <c r="F16" s="6"/>
      <c r="G16" s="5"/>
      <c r="H16" s="1" t="s">
        <v>460</v>
      </c>
    </row>
    <row r="17" spans="1:10" ht="51" x14ac:dyDescent="0.2">
      <c r="A17" s="6">
        <f t="shared" si="0"/>
        <v>6</v>
      </c>
      <c r="B17" s="4" t="s">
        <v>7</v>
      </c>
      <c r="C17" s="57" t="s">
        <v>376</v>
      </c>
      <c r="D17" s="202"/>
      <c r="E17" s="201" t="s">
        <v>474</v>
      </c>
      <c r="F17" s="6"/>
      <c r="G17" s="30"/>
      <c r="H17" s="1" t="s">
        <v>459</v>
      </c>
    </row>
    <row r="18" spans="1:10" ht="76.5" x14ac:dyDescent="0.2">
      <c r="A18" s="6">
        <f t="shared" si="0"/>
        <v>7</v>
      </c>
      <c r="B18" s="3" t="s">
        <v>368</v>
      </c>
      <c r="C18" s="233" t="s">
        <v>371</v>
      </c>
      <c r="D18" s="202"/>
      <c r="E18" s="201" t="s">
        <v>474</v>
      </c>
      <c r="F18" s="6"/>
      <c r="G18" s="23" t="s">
        <v>505</v>
      </c>
      <c r="H18" s="1" t="s">
        <v>459</v>
      </c>
    </row>
    <row r="19" spans="1:10" ht="38.25" x14ac:dyDescent="0.2">
      <c r="A19" s="6">
        <f t="shared" si="0"/>
        <v>8</v>
      </c>
      <c r="B19" s="3" t="s">
        <v>372</v>
      </c>
      <c r="C19" s="233" t="s">
        <v>379</v>
      </c>
      <c r="D19" s="202"/>
      <c r="E19" s="201" t="s">
        <v>484</v>
      </c>
      <c r="F19" s="6"/>
      <c r="G19" s="23"/>
      <c r="H19" s="1" t="s">
        <v>459</v>
      </c>
    </row>
    <row r="20" spans="1:10" ht="38.25" x14ac:dyDescent="0.2">
      <c r="A20" s="6">
        <f>+A19+1</f>
        <v>9</v>
      </c>
      <c r="B20" s="3" t="s">
        <v>425</v>
      </c>
      <c r="C20" s="233" t="s">
        <v>380</v>
      </c>
      <c r="D20" s="202"/>
      <c r="E20" s="201"/>
      <c r="F20" s="6"/>
      <c r="G20" s="5"/>
      <c r="H20" s="1" t="s">
        <v>457</v>
      </c>
    </row>
    <row r="21" spans="1:10" ht="76.5" x14ac:dyDescent="0.2">
      <c r="A21" s="6">
        <f t="shared" si="0"/>
        <v>10</v>
      </c>
      <c r="B21" s="3" t="s">
        <v>373</v>
      </c>
      <c r="C21" s="233" t="s">
        <v>381</v>
      </c>
      <c r="D21" s="202"/>
      <c r="E21" s="201" t="s">
        <v>484</v>
      </c>
      <c r="F21" s="6"/>
      <c r="G21" s="23"/>
      <c r="H21" s="1" t="s">
        <v>456</v>
      </c>
    </row>
    <row r="22" spans="1:10" ht="112.5" customHeight="1" x14ac:dyDescent="0.2">
      <c r="A22" s="6">
        <f t="shared" si="0"/>
        <v>11</v>
      </c>
      <c r="B22" s="3" t="s">
        <v>374</v>
      </c>
      <c r="C22" s="233" t="s">
        <v>382</v>
      </c>
      <c r="D22" s="202"/>
      <c r="E22" s="201" t="s">
        <v>504</v>
      </c>
      <c r="F22" s="6"/>
      <c r="G22" s="5"/>
      <c r="H22" s="1" t="s">
        <v>460</v>
      </c>
    </row>
    <row r="23" spans="1:10" ht="18" customHeight="1" x14ac:dyDescent="0.2">
      <c r="A23" s="285" t="s">
        <v>387</v>
      </c>
      <c r="B23" s="286"/>
      <c r="C23" s="287"/>
      <c r="D23" s="287"/>
      <c r="E23" s="287"/>
      <c r="F23" s="287"/>
      <c r="G23" s="288"/>
    </row>
    <row r="24" spans="1:10" ht="54" customHeight="1" x14ac:dyDescent="0.2">
      <c r="A24" s="6" t="s">
        <v>388</v>
      </c>
      <c r="B24" s="3" t="s">
        <v>361</v>
      </c>
      <c r="C24" s="233" t="s">
        <v>363</v>
      </c>
      <c r="D24" s="202"/>
      <c r="E24" s="201"/>
      <c r="F24" s="6"/>
      <c r="G24" s="5"/>
      <c r="H24" s="1" t="s">
        <v>459</v>
      </c>
    </row>
    <row r="25" spans="1:10" ht="38.25" x14ac:dyDescent="0.2">
      <c r="A25" s="235">
        <f>+A24+1</f>
        <v>15</v>
      </c>
      <c r="B25" s="4" t="s">
        <v>369</v>
      </c>
      <c r="C25" s="231" t="s">
        <v>362</v>
      </c>
      <c r="D25" s="202"/>
      <c r="E25" s="201" t="s">
        <v>484</v>
      </c>
      <c r="F25" s="6"/>
      <c r="G25" s="5"/>
      <c r="H25" s="1" t="s">
        <v>457</v>
      </c>
    </row>
    <row r="26" spans="1:10" ht="32.25" customHeight="1" x14ac:dyDescent="0.2">
      <c r="A26" s="235">
        <f t="shared" ref="A26" si="1">+A25+1</f>
        <v>16</v>
      </c>
      <c r="B26" s="232" t="s">
        <v>105</v>
      </c>
      <c r="C26" s="172" t="s">
        <v>243</v>
      </c>
      <c r="D26" s="202"/>
      <c r="E26" s="201"/>
      <c r="F26" s="55"/>
      <c r="G26" s="56"/>
      <c r="H26" s="1" t="s">
        <v>459</v>
      </c>
    </row>
    <row r="27" spans="1:10" ht="18" customHeight="1" x14ac:dyDescent="0.2">
      <c r="A27" s="272" t="s">
        <v>63</v>
      </c>
      <c r="B27" s="325"/>
      <c r="C27" s="326"/>
      <c r="D27" s="327"/>
      <c r="E27" s="327"/>
      <c r="F27" s="327"/>
      <c r="G27" s="328"/>
    </row>
    <row r="28" spans="1:10" ht="89.25" x14ac:dyDescent="0.2">
      <c r="A28" s="235" t="s">
        <v>415</v>
      </c>
      <c r="B28" s="4" t="s">
        <v>53</v>
      </c>
      <c r="C28" s="57" t="s">
        <v>375</v>
      </c>
      <c r="D28" s="202"/>
      <c r="E28" s="201" t="s">
        <v>484</v>
      </c>
      <c r="F28" s="6"/>
      <c r="G28" s="5"/>
      <c r="H28" s="1" t="s">
        <v>456</v>
      </c>
    </row>
    <row r="29" spans="1:10" ht="39.75" customHeight="1" x14ac:dyDescent="0.2">
      <c r="A29" s="235" t="s">
        <v>416</v>
      </c>
      <c r="B29" s="4" t="s">
        <v>8</v>
      </c>
      <c r="C29" s="234" t="s">
        <v>106</v>
      </c>
      <c r="D29" s="202"/>
      <c r="E29" s="201" t="s">
        <v>504</v>
      </c>
      <c r="F29" s="6"/>
      <c r="G29" s="5"/>
      <c r="H29" s="1" t="s">
        <v>456</v>
      </c>
    </row>
    <row r="30" spans="1:10" ht="18" customHeight="1" x14ac:dyDescent="0.2">
      <c r="A30" s="248" t="s">
        <v>417</v>
      </c>
      <c r="B30" s="248"/>
      <c r="C30" s="249"/>
      <c r="D30" s="55"/>
      <c r="E30" s="55"/>
      <c r="F30" s="55"/>
      <c r="G30" s="56"/>
    </row>
    <row r="31" spans="1:10" ht="25.5" x14ac:dyDescent="0.2">
      <c r="A31" s="6">
        <v>19</v>
      </c>
      <c r="B31" s="3" t="s">
        <v>64</v>
      </c>
      <c r="C31" s="57" t="s">
        <v>364</v>
      </c>
      <c r="D31" s="202"/>
      <c r="E31" s="201"/>
      <c r="F31" s="6"/>
      <c r="G31" s="5"/>
      <c r="H31" s="1" t="s">
        <v>458</v>
      </c>
    </row>
    <row r="32" spans="1:10" ht="89.25" x14ac:dyDescent="0.2">
      <c r="A32" s="6">
        <v>20</v>
      </c>
      <c r="B32" s="4" t="s">
        <v>263</v>
      </c>
      <c r="C32" s="57" t="s">
        <v>359</v>
      </c>
      <c r="D32" s="202"/>
      <c r="E32" s="201" t="s">
        <v>484</v>
      </c>
      <c r="F32" s="6"/>
      <c r="G32" s="5"/>
      <c r="H32" s="1" t="s">
        <v>459</v>
      </c>
      <c r="J32" s="1">
        <f>6.86*2000</f>
        <v>13720</v>
      </c>
    </row>
    <row r="33" spans="1:8" ht="200.25" customHeight="1" x14ac:dyDescent="0.2">
      <c r="A33" s="6">
        <v>21</v>
      </c>
      <c r="B33" s="3" t="s">
        <v>264</v>
      </c>
      <c r="C33" s="57" t="s">
        <v>360</v>
      </c>
      <c r="D33" s="202"/>
      <c r="E33" s="201"/>
      <c r="F33" s="6"/>
      <c r="G33" s="11"/>
      <c r="H33" s="1" t="s">
        <v>458</v>
      </c>
    </row>
  </sheetData>
  <autoFilter ref="A8:H33" xr:uid="{00000000-0001-0000-0100-000000000000}"/>
  <mergeCells count="10">
    <mergeCell ref="A6:A7"/>
    <mergeCell ref="C6:C7"/>
    <mergeCell ref="D6:F6"/>
    <mergeCell ref="G6:G7"/>
    <mergeCell ref="B6:B7"/>
    <mergeCell ref="D5:G5"/>
    <mergeCell ref="A1:G1"/>
    <mergeCell ref="A2:G2"/>
    <mergeCell ref="D3:G3"/>
    <mergeCell ref="D4:G4"/>
  </mergeCells>
  <conditionalFormatting sqref="G19">
    <cfRule type="expression" dxfId="14" priority="3">
      <formula>ISNUMBER($B19)</formula>
    </cfRule>
  </conditionalFormatting>
  <conditionalFormatting sqref="G21">
    <cfRule type="expression" dxfId="13" priority="2">
      <formula>ISNUMBER($B21)</formula>
    </cfRule>
  </conditionalFormatting>
  <conditionalFormatting sqref="G18">
    <cfRule type="expression" dxfId="12" priority="1">
      <formula>ISNUMBER($B18)</formula>
    </cfRule>
  </conditionalFormatting>
  <dataValidations count="2">
    <dataValidation type="custom" allowBlank="1" showInputMessage="1" showErrorMessage="1" errorTitle="ERROR" error="Debe poner N/A" sqref="D14:D22 D28:D29 D24:D26 D10 D12 D31:D33" xr:uid="{B7E5060C-7012-4624-B72E-B658E0C6CA6A}">
      <formula1>AND(D10="N/A")</formula1>
    </dataValidation>
    <dataValidation type="list" allowBlank="1" showInputMessage="1" showErrorMessage="1" sqref="E31:E33 E28:E29 E24:E26 E10 E14:E22 E12" xr:uid="{8A817388-FF5D-4A3A-90A4-7D36E855A7E9}">
      <formula1>"],√,ŧ,п,Ʃ,€,?,µ,ʘ,₸,ẽ,ɑ"</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rowBreaks count="1" manualBreakCount="1">
    <brk id="25" max="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8663F-8251-48CF-802D-B89630A8E8D1}">
  <sheetPr codeName="Hoja7"/>
  <dimension ref="A1:H26"/>
  <sheetViews>
    <sheetView topLeftCell="A20" zoomScaleNormal="100" zoomScaleSheetLayoutView="90" workbookViewId="0">
      <selection activeCell="E23" sqref="E23"/>
    </sheetView>
  </sheetViews>
  <sheetFormatPr baseColWidth="10" defaultRowHeight="12.75" x14ac:dyDescent="0.2"/>
  <cols>
    <col min="1" max="1" width="4.375" style="10" customWidth="1"/>
    <col min="2" max="2" width="47.75" style="13" customWidth="1"/>
    <col min="3" max="3" width="56.875" style="23" hidden="1" customWidth="1"/>
    <col min="4" max="5" width="4.375" style="10" customWidth="1"/>
    <col min="6" max="6" width="13.875" style="10" customWidth="1"/>
    <col min="7" max="7" width="40.625" style="1" customWidth="1"/>
    <col min="8" max="16384" width="11" style="1"/>
  </cols>
  <sheetData>
    <row r="1" spans="1:8" ht="15" customHeight="1" x14ac:dyDescent="0.2">
      <c r="A1" s="329" t="s">
        <v>1</v>
      </c>
      <c r="B1" s="329"/>
      <c r="C1" s="329"/>
      <c r="D1" s="329"/>
      <c r="E1" s="329"/>
      <c r="F1" s="329"/>
      <c r="G1" s="329"/>
    </row>
    <row r="2" spans="1:8" ht="24.75" customHeight="1" x14ac:dyDescent="0.2">
      <c r="A2" s="329" t="s">
        <v>16</v>
      </c>
      <c r="B2" s="329"/>
      <c r="C2" s="329"/>
      <c r="D2" s="329"/>
      <c r="E2" s="329"/>
      <c r="F2" s="329"/>
      <c r="G2" s="329"/>
    </row>
    <row r="3" spans="1:8" ht="16.5" customHeight="1" x14ac:dyDescent="0.2">
      <c r="A3" s="177" t="s">
        <v>9</v>
      </c>
      <c r="B3" s="31"/>
      <c r="C3" s="60"/>
      <c r="D3" s="336">
        <f ca="1">+FormOperativo!D3</f>
        <v>45405</v>
      </c>
      <c r="E3" s="336"/>
      <c r="F3" s="336"/>
      <c r="G3" s="336"/>
    </row>
    <row r="4" spans="1:8" ht="16.5" customHeight="1" x14ac:dyDescent="0.2">
      <c r="A4" s="40" t="s">
        <v>11</v>
      </c>
      <c r="B4" s="40"/>
      <c r="C4" s="60"/>
      <c r="D4" s="336">
        <f>+FormOperativo!D4</f>
        <v>0</v>
      </c>
      <c r="E4" s="336"/>
      <c r="F4" s="336"/>
      <c r="G4" s="336"/>
    </row>
    <row r="5" spans="1:8" ht="15" customHeight="1" x14ac:dyDescent="0.2">
      <c r="A5" s="40" t="s">
        <v>10</v>
      </c>
      <c r="B5" s="40"/>
      <c r="C5" s="61"/>
      <c r="D5" s="336">
        <f>+FormOperativo!D5</f>
        <v>0</v>
      </c>
      <c r="E5" s="336"/>
      <c r="F5" s="336"/>
      <c r="G5" s="336"/>
    </row>
    <row r="6" spans="1:8" s="16" customFormat="1" ht="18.75" customHeight="1" x14ac:dyDescent="0.2">
      <c r="A6" s="338" t="s">
        <v>3</v>
      </c>
      <c r="B6" s="338" t="s">
        <v>12</v>
      </c>
      <c r="C6" s="338" t="s">
        <v>13</v>
      </c>
      <c r="D6" s="338" t="s">
        <v>14</v>
      </c>
      <c r="E6" s="338"/>
      <c r="F6" s="338"/>
      <c r="G6" s="338" t="s">
        <v>4</v>
      </c>
    </row>
    <row r="7" spans="1:8" s="10" customFormat="1" ht="16.5" customHeight="1" x14ac:dyDescent="0.2">
      <c r="A7" s="338"/>
      <c r="B7" s="338"/>
      <c r="C7" s="338"/>
      <c r="D7" s="17" t="s">
        <v>0</v>
      </c>
      <c r="E7" s="17" t="s">
        <v>2</v>
      </c>
      <c r="F7" s="17" t="s">
        <v>274</v>
      </c>
      <c r="G7" s="338"/>
    </row>
    <row r="8" spans="1:8" ht="19.5" customHeight="1" x14ac:dyDescent="0.2">
      <c r="A8" s="281" t="s">
        <v>107</v>
      </c>
      <c r="B8" s="205"/>
      <c r="C8" s="282"/>
      <c r="D8" s="205"/>
      <c r="E8" s="205"/>
      <c r="F8" s="205"/>
      <c r="G8" s="281"/>
    </row>
    <row r="9" spans="1:8" ht="147" customHeight="1" x14ac:dyDescent="0.2">
      <c r="A9" s="6">
        <v>1</v>
      </c>
      <c r="B9" s="4" t="s">
        <v>120</v>
      </c>
      <c r="C9" s="4" t="s">
        <v>244</v>
      </c>
      <c r="D9" s="202"/>
      <c r="E9" s="201"/>
      <c r="F9" s="6"/>
      <c r="G9" s="30"/>
      <c r="H9" s="1" t="s">
        <v>457</v>
      </c>
    </row>
    <row r="10" spans="1:8" ht="48" customHeight="1" x14ac:dyDescent="0.2">
      <c r="A10" s="6">
        <f t="shared" ref="A10:A16" si="0">1+A9</f>
        <v>2</v>
      </c>
      <c r="B10" s="4" t="s">
        <v>117</v>
      </c>
      <c r="C10" s="4" t="s">
        <v>390</v>
      </c>
      <c r="D10" s="202"/>
      <c r="E10" s="201" t="s">
        <v>504</v>
      </c>
      <c r="F10" s="6"/>
      <c r="G10" s="30"/>
      <c r="H10" s="1" t="s">
        <v>460</v>
      </c>
    </row>
    <row r="11" spans="1:8" ht="66.75" customHeight="1" x14ac:dyDescent="0.2">
      <c r="A11" s="6">
        <f t="shared" si="0"/>
        <v>3</v>
      </c>
      <c r="B11" s="4" t="s">
        <v>391</v>
      </c>
      <c r="C11" s="19" t="s">
        <v>110</v>
      </c>
      <c r="D11" s="202"/>
      <c r="E11" s="201" t="s">
        <v>474</v>
      </c>
      <c r="F11" s="6"/>
      <c r="G11" s="30"/>
      <c r="H11" s="1" t="s">
        <v>501</v>
      </c>
    </row>
    <row r="12" spans="1:8" ht="45" customHeight="1" x14ac:dyDescent="0.2">
      <c r="A12" s="6">
        <f t="shared" si="0"/>
        <v>4</v>
      </c>
      <c r="B12" s="4" t="s">
        <v>118</v>
      </c>
      <c r="C12" s="18" t="s">
        <v>234</v>
      </c>
      <c r="D12" s="202"/>
      <c r="E12" s="201" t="s">
        <v>504</v>
      </c>
      <c r="F12" s="6"/>
      <c r="G12" s="30"/>
      <c r="H12" s="1" t="s">
        <v>459</v>
      </c>
    </row>
    <row r="13" spans="1:8" ht="53.25" customHeight="1" x14ac:dyDescent="0.2">
      <c r="A13" s="6">
        <f t="shared" si="0"/>
        <v>5</v>
      </c>
      <c r="B13" s="4" t="s">
        <v>119</v>
      </c>
      <c r="C13" s="18" t="s">
        <v>392</v>
      </c>
      <c r="D13" s="202"/>
      <c r="E13" s="201" t="s">
        <v>504</v>
      </c>
      <c r="F13" s="6"/>
      <c r="G13" s="30"/>
      <c r="H13" s="1" t="s">
        <v>459</v>
      </c>
    </row>
    <row r="14" spans="1:8" ht="123" customHeight="1" x14ac:dyDescent="0.2">
      <c r="A14" s="6">
        <f t="shared" si="0"/>
        <v>6</v>
      </c>
      <c r="B14" s="4" t="s">
        <v>277</v>
      </c>
      <c r="C14" s="19" t="s">
        <v>235</v>
      </c>
      <c r="D14" s="202"/>
      <c r="E14" s="201"/>
      <c r="F14" s="6"/>
      <c r="G14" s="30"/>
      <c r="H14" s="1" t="s">
        <v>459</v>
      </c>
    </row>
    <row r="15" spans="1:8" ht="100.5" customHeight="1" x14ac:dyDescent="0.2">
      <c r="A15" s="6">
        <f t="shared" si="0"/>
        <v>7</v>
      </c>
      <c r="B15" s="4" t="s">
        <v>278</v>
      </c>
      <c r="C15" s="19" t="s">
        <v>236</v>
      </c>
      <c r="D15" s="202"/>
      <c r="E15" s="201"/>
      <c r="F15" s="6"/>
      <c r="G15" s="30"/>
      <c r="H15" s="1" t="s">
        <v>459</v>
      </c>
    </row>
    <row r="16" spans="1:8" ht="64.5" customHeight="1" x14ac:dyDescent="0.2">
      <c r="A16" s="6">
        <f t="shared" si="0"/>
        <v>8</v>
      </c>
      <c r="B16" s="4" t="s">
        <v>393</v>
      </c>
      <c r="C16" s="19" t="s">
        <v>394</v>
      </c>
      <c r="D16" s="202"/>
      <c r="E16" s="201"/>
      <c r="F16" s="6"/>
      <c r="G16" s="30"/>
      <c r="H16" s="1" t="s">
        <v>459</v>
      </c>
    </row>
    <row r="17" spans="1:8" ht="56.25" customHeight="1" x14ac:dyDescent="0.2">
      <c r="A17" s="6">
        <f t="shared" ref="A17" si="1">1+A16</f>
        <v>9</v>
      </c>
      <c r="B17" s="4" t="s">
        <v>237</v>
      </c>
      <c r="C17" s="18" t="s">
        <v>245</v>
      </c>
      <c r="D17" s="202"/>
      <c r="E17" s="201"/>
      <c r="F17" s="6"/>
      <c r="G17" s="30"/>
      <c r="H17" s="1" t="s">
        <v>458</v>
      </c>
    </row>
    <row r="18" spans="1:8" ht="24" customHeight="1" x14ac:dyDescent="0.2">
      <c r="A18" s="281" t="s">
        <v>50</v>
      </c>
      <c r="B18" s="205"/>
      <c r="C18" s="206"/>
      <c r="D18" s="283"/>
      <c r="E18" s="283"/>
      <c r="F18" s="283"/>
      <c r="G18" s="243"/>
    </row>
    <row r="19" spans="1:8" ht="89.25" x14ac:dyDescent="0.2">
      <c r="A19" s="6">
        <f>+A17+1</f>
        <v>10</v>
      </c>
      <c r="B19" s="4" t="s">
        <v>101</v>
      </c>
      <c r="C19" s="18" t="s">
        <v>103</v>
      </c>
      <c r="D19" s="202"/>
      <c r="E19" s="201"/>
      <c r="F19" s="6"/>
      <c r="G19" s="30"/>
      <c r="H19" s="1" t="s">
        <v>457</v>
      </c>
    </row>
    <row r="20" spans="1:8" ht="102" x14ac:dyDescent="0.2">
      <c r="A20" s="6">
        <f>+A19+1</f>
        <v>11</v>
      </c>
      <c r="B20" s="4" t="s">
        <v>102</v>
      </c>
      <c r="C20" s="18" t="s">
        <v>238</v>
      </c>
      <c r="D20" s="202"/>
      <c r="E20" s="201"/>
      <c r="F20" s="6"/>
      <c r="G20" s="30"/>
      <c r="H20" s="1" t="s">
        <v>457</v>
      </c>
    </row>
    <row r="21" spans="1:8" ht="24" customHeight="1" x14ac:dyDescent="0.2">
      <c r="A21" s="281" t="s">
        <v>108</v>
      </c>
      <c r="B21" s="205"/>
      <c r="C21" s="206"/>
      <c r="D21" s="283"/>
      <c r="E21" s="283"/>
      <c r="F21" s="283"/>
      <c r="G21" s="243"/>
    </row>
    <row r="22" spans="1:8" ht="47.25" customHeight="1" x14ac:dyDescent="0.2">
      <c r="A22" s="55">
        <f>+A20+1</f>
        <v>12</v>
      </c>
      <c r="B22" s="232" t="s">
        <v>109</v>
      </c>
      <c r="C22" s="18" t="s">
        <v>246</v>
      </c>
      <c r="D22" s="202"/>
      <c r="E22" s="201"/>
      <c r="F22" s="58"/>
      <c r="G22" s="56"/>
      <c r="H22" s="1" t="s">
        <v>459</v>
      </c>
    </row>
    <row r="23" spans="1:8" ht="57.75" customHeight="1" x14ac:dyDescent="0.2">
      <c r="A23" s="55">
        <v>13</v>
      </c>
      <c r="B23" s="284" t="s">
        <v>111</v>
      </c>
      <c r="C23" s="18" t="s">
        <v>239</v>
      </c>
      <c r="D23" s="202"/>
      <c r="E23" s="201"/>
      <c r="F23" s="58"/>
      <c r="G23" s="56"/>
      <c r="H23" s="1" t="s">
        <v>459</v>
      </c>
    </row>
    <row r="24" spans="1:8" x14ac:dyDescent="0.2">
      <c r="G24" s="13"/>
    </row>
    <row r="25" spans="1:8" x14ac:dyDescent="0.2">
      <c r="G25" s="13"/>
    </row>
    <row r="26" spans="1:8" x14ac:dyDescent="0.2">
      <c r="G26" s="13"/>
    </row>
  </sheetData>
  <autoFilter ref="A8:H23" xr:uid="{10A8663F-8251-48CF-802D-B89630A8E8D1}"/>
  <mergeCells count="10">
    <mergeCell ref="A6:A7"/>
    <mergeCell ref="B6:B7"/>
    <mergeCell ref="C6:C7"/>
    <mergeCell ref="D6:F6"/>
    <mergeCell ref="G6:G7"/>
    <mergeCell ref="A1:G1"/>
    <mergeCell ref="A2:G2"/>
    <mergeCell ref="D3:G3"/>
    <mergeCell ref="D4:G4"/>
    <mergeCell ref="D5:G5"/>
  </mergeCells>
  <dataValidations count="2">
    <dataValidation type="list" allowBlank="1" showInputMessage="1" showErrorMessage="1" sqref="E9:E17 E19:E20 E22:E23" xr:uid="{66B2B967-74DD-421E-853C-C7D3B79B3A42}">
      <formula1>"],√,ŧ,п,Ʃ,€,?,µ,ʘ,₸,ẽ,ɑ"</formula1>
    </dataValidation>
    <dataValidation type="custom" allowBlank="1" showInputMessage="1" showErrorMessage="1" errorTitle="ERROR" error="Debe poner N/A" sqref="D9:D17 D19:D20 D22:D23" xr:uid="{F44510EC-C805-4FFA-9246-03E17BF1E943}">
      <formula1>AND(D9="N/A")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DE64D-F9F9-48BC-8E96-647821F4E2D9}">
  <sheetPr codeName="Hoja4"/>
  <dimension ref="A1:H10"/>
  <sheetViews>
    <sheetView topLeftCell="A5" zoomScaleNormal="100" zoomScaleSheetLayoutView="100" workbookViewId="0">
      <selection activeCell="B10" sqref="B10"/>
    </sheetView>
  </sheetViews>
  <sheetFormatPr baseColWidth="10" defaultRowHeight="12.75" x14ac:dyDescent="0.2"/>
  <cols>
    <col min="1" max="1" width="4.375" style="13" customWidth="1"/>
    <col min="2" max="2" width="47.75" style="13" customWidth="1"/>
    <col min="3" max="3" width="51.375" style="23" hidden="1" customWidth="1"/>
    <col min="4" max="5" width="4.375" style="10" customWidth="1"/>
    <col min="6" max="6" width="13.875" style="10" customWidth="1"/>
    <col min="7" max="7" width="40.625" style="1" customWidth="1"/>
    <col min="8" max="16384" width="11" style="1"/>
  </cols>
  <sheetData>
    <row r="1" spans="1:8" ht="15" customHeight="1" x14ac:dyDescent="0.2">
      <c r="A1" s="329" t="s">
        <v>1</v>
      </c>
      <c r="B1" s="329"/>
      <c r="C1" s="329"/>
      <c r="D1" s="329"/>
      <c r="E1" s="329"/>
      <c r="F1" s="329"/>
      <c r="G1" s="329"/>
    </row>
    <row r="2" spans="1:8" ht="24.75" customHeight="1" x14ac:dyDescent="0.2">
      <c r="A2" s="329" t="s">
        <v>87</v>
      </c>
      <c r="B2" s="329"/>
      <c r="C2" s="329"/>
      <c r="D2" s="329"/>
      <c r="E2" s="329"/>
      <c r="F2" s="329"/>
      <c r="G2" s="329"/>
    </row>
    <row r="3" spans="1:8" ht="16.5" customHeight="1" x14ac:dyDescent="0.2">
      <c r="A3" s="177" t="s">
        <v>9</v>
      </c>
      <c r="B3" s="9"/>
      <c r="C3" s="21"/>
      <c r="D3" s="330">
        <f ca="1">+FormOperativo!D3</f>
        <v>45405</v>
      </c>
      <c r="E3" s="331"/>
      <c r="F3" s="331"/>
      <c r="G3" s="331"/>
    </row>
    <row r="4" spans="1:8" ht="16.5" customHeight="1" x14ac:dyDescent="0.2">
      <c r="A4" s="177" t="s">
        <v>11</v>
      </c>
      <c r="B4" s="7"/>
      <c r="C4" s="21"/>
      <c r="D4" s="330">
        <f>+FormOperativo!D4</f>
        <v>0</v>
      </c>
      <c r="E4" s="331"/>
      <c r="F4" s="331"/>
      <c r="G4" s="331"/>
    </row>
    <row r="5" spans="1:8" ht="15" customHeight="1" x14ac:dyDescent="0.2">
      <c r="A5" s="177" t="s">
        <v>10</v>
      </c>
      <c r="B5" s="7"/>
      <c r="C5" s="21"/>
      <c r="D5" s="330">
        <f>+FormOperativo!D5</f>
        <v>0</v>
      </c>
      <c r="E5" s="331"/>
      <c r="F5" s="331"/>
      <c r="G5" s="331"/>
    </row>
    <row r="6" spans="1:8" s="16" customFormat="1" ht="15" customHeight="1" x14ac:dyDescent="0.2">
      <c r="A6" s="338" t="s">
        <v>3</v>
      </c>
      <c r="B6" s="334" t="s">
        <v>12</v>
      </c>
      <c r="C6" s="339" t="s">
        <v>13</v>
      </c>
      <c r="D6" s="338" t="s">
        <v>14</v>
      </c>
      <c r="E6" s="338"/>
      <c r="F6" s="338"/>
      <c r="G6" s="334" t="s">
        <v>4</v>
      </c>
    </row>
    <row r="7" spans="1:8" s="10" customFormat="1" ht="16.5" customHeight="1" x14ac:dyDescent="0.2">
      <c r="A7" s="338"/>
      <c r="B7" s="334"/>
      <c r="C7" s="334"/>
      <c r="D7" s="17" t="s">
        <v>0</v>
      </c>
      <c r="E7" s="17" t="s">
        <v>2</v>
      </c>
      <c r="F7" s="17" t="s">
        <v>274</v>
      </c>
      <c r="G7" s="334"/>
    </row>
    <row r="8" spans="1:8" ht="21.75" customHeight="1" x14ac:dyDescent="0.2">
      <c r="A8" s="207" t="s">
        <v>28</v>
      </c>
      <c r="B8" s="203"/>
      <c r="C8" s="204"/>
      <c r="D8" s="208"/>
      <c r="E8" s="208"/>
      <c r="F8" s="208"/>
      <c r="G8" s="209"/>
    </row>
    <row r="9" spans="1:8" ht="75" customHeight="1" x14ac:dyDescent="0.2">
      <c r="A9" s="178">
        <v>1</v>
      </c>
      <c r="B9" s="11" t="s">
        <v>88</v>
      </c>
      <c r="C9" s="20" t="s">
        <v>240</v>
      </c>
      <c r="D9" s="202"/>
      <c r="E9" s="201"/>
      <c r="F9" s="8"/>
      <c r="G9" s="5"/>
      <c r="H9" s="1" t="s">
        <v>458</v>
      </c>
    </row>
    <row r="10" spans="1:8" ht="113.25" customHeight="1" x14ac:dyDescent="0.2">
      <c r="A10" s="178">
        <f>+A9+1</f>
        <v>2</v>
      </c>
      <c r="B10" s="11" t="s">
        <v>241</v>
      </c>
      <c r="C10" s="20" t="s">
        <v>251</v>
      </c>
      <c r="D10" s="202"/>
      <c r="E10" s="201"/>
      <c r="F10" s="8"/>
      <c r="G10" s="5"/>
      <c r="H10" s="1" t="s">
        <v>502</v>
      </c>
    </row>
  </sheetData>
  <autoFilter ref="A8:H10" xr:uid="{D58DE64D-F9F9-48BC-8E96-647821F4E2D9}"/>
  <mergeCells count="10">
    <mergeCell ref="A6:A7"/>
    <mergeCell ref="B6:B7"/>
    <mergeCell ref="C6:C7"/>
    <mergeCell ref="D6:F6"/>
    <mergeCell ref="G6:G7"/>
    <mergeCell ref="A1:G1"/>
    <mergeCell ref="A2:G2"/>
    <mergeCell ref="D3:G3"/>
    <mergeCell ref="D4:G4"/>
    <mergeCell ref="D5:G5"/>
  </mergeCells>
  <dataValidations count="2">
    <dataValidation type="list" allowBlank="1" showInputMessage="1" showErrorMessage="1" sqref="E9:E10" xr:uid="{49E36247-C5CE-47F1-9861-5B8164CC9DC5}">
      <formula1>"],√,ŧ,п,Ʃ,€,?,µ,ʘ,₸,ẽ,ɑ"</formula1>
    </dataValidation>
    <dataValidation type="custom" allowBlank="1" showInputMessage="1" showErrorMessage="1" errorTitle="ERROR" error="Debe poner N/A" sqref="D9:D10" xr:uid="{FEFA6361-723E-4C28-8799-0CE35B4A1B2B}">
      <formula1>AND(D9="N/A")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79E5E-904D-4F05-BDF0-6ABFD2F9299E}">
  <sheetPr codeName="Hoja5"/>
  <dimension ref="A1:H12"/>
  <sheetViews>
    <sheetView topLeftCell="A3" zoomScaleNormal="100" zoomScaleSheetLayoutView="100" workbookViewId="0">
      <selection activeCell="B9" sqref="B9"/>
    </sheetView>
  </sheetViews>
  <sheetFormatPr baseColWidth="10" defaultRowHeight="12.75" x14ac:dyDescent="0.2"/>
  <cols>
    <col min="1" max="1" width="4.375" style="13" customWidth="1"/>
    <col min="2" max="2" width="47.75" style="13" customWidth="1"/>
    <col min="3" max="3" width="51.375" style="23" hidden="1" customWidth="1"/>
    <col min="4" max="5" width="4.375" style="10" customWidth="1"/>
    <col min="6" max="6" width="13.875" style="10" customWidth="1"/>
    <col min="7" max="7" width="40.625" style="1" customWidth="1"/>
    <col min="8" max="16384" width="11" style="1"/>
  </cols>
  <sheetData>
    <row r="1" spans="1:8" ht="15" customHeight="1" x14ac:dyDescent="0.2">
      <c r="A1" s="329" t="s">
        <v>1</v>
      </c>
      <c r="B1" s="329"/>
      <c r="C1" s="329"/>
      <c r="D1" s="329"/>
      <c r="E1" s="329"/>
      <c r="F1" s="329"/>
      <c r="G1" s="329"/>
    </row>
    <row r="2" spans="1:8" ht="24.75" customHeight="1" x14ac:dyDescent="0.2">
      <c r="A2" s="329" t="s">
        <v>89</v>
      </c>
      <c r="B2" s="329"/>
      <c r="C2" s="329"/>
      <c r="D2" s="329"/>
      <c r="E2" s="329"/>
      <c r="F2" s="329"/>
      <c r="G2" s="329"/>
    </row>
    <row r="3" spans="1:8" ht="16.5" customHeight="1" x14ac:dyDescent="0.2">
      <c r="A3" s="177" t="s">
        <v>9</v>
      </c>
      <c r="B3" s="9"/>
      <c r="C3" s="21"/>
      <c r="D3" s="330">
        <f ca="1">+FormOperativo!D3</f>
        <v>45405</v>
      </c>
      <c r="E3" s="331"/>
      <c r="F3" s="331"/>
      <c r="G3" s="331"/>
    </row>
    <row r="4" spans="1:8" ht="16.5" customHeight="1" x14ac:dyDescent="0.2">
      <c r="A4" s="177" t="s">
        <v>11</v>
      </c>
      <c r="B4" s="7"/>
      <c r="C4" s="21"/>
      <c r="D4" s="330">
        <f>+FormOperativo!D4</f>
        <v>0</v>
      </c>
      <c r="E4" s="331"/>
      <c r="F4" s="331"/>
      <c r="G4" s="331"/>
    </row>
    <row r="5" spans="1:8" ht="15" customHeight="1" x14ac:dyDescent="0.2">
      <c r="A5" s="177" t="s">
        <v>10</v>
      </c>
      <c r="B5" s="7"/>
      <c r="C5" s="21"/>
      <c r="D5" s="330">
        <f>+FormOperativo!D5</f>
        <v>0</v>
      </c>
      <c r="E5" s="331"/>
      <c r="F5" s="331"/>
      <c r="G5" s="331"/>
    </row>
    <row r="6" spans="1:8" s="16" customFormat="1" ht="15" customHeight="1" x14ac:dyDescent="0.2">
      <c r="A6" s="338" t="s">
        <v>3</v>
      </c>
      <c r="B6" s="334" t="s">
        <v>12</v>
      </c>
      <c r="C6" s="339" t="s">
        <v>13</v>
      </c>
      <c r="D6" s="338" t="s">
        <v>14</v>
      </c>
      <c r="E6" s="338"/>
      <c r="F6" s="338"/>
      <c r="G6" s="334" t="s">
        <v>4</v>
      </c>
    </row>
    <row r="7" spans="1:8" s="10" customFormat="1" ht="16.5" customHeight="1" x14ac:dyDescent="0.2">
      <c r="A7" s="338"/>
      <c r="B7" s="334"/>
      <c r="C7" s="334"/>
      <c r="D7" s="17" t="s">
        <v>0</v>
      </c>
      <c r="E7" s="17" t="s">
        <v>2</v>
      </c>
      <c r="F7" s="17" t="s">
        <v>274</v>
      </c>
      <c r="G7" s="334"/>
    </row>
    <row r="8" spans="1:8" ht="18.75" customHeight="1" x14ac:dyDescent="0.2">
      <c r="A8" s="179" t="s">
        <v>90</v>
      </c>
      <c r="B8" s="203"/>
      <c r="C8" s="204"/>
      <c r="D8" s="208"/>
      <c r="E8" s="208"/>
      <c r="F8" s="208"/>
      <c r="G8" s="209"/>
    </row>
    <row r="9" spans="1:8" ht="51.75" customHeight="1" x14ac:dyDescent="0.2">
      <c r="A9" s="176" t="s">
        <v>91</v>
      </c>
      <c r="B9" s="36" t="s">
        <v>92</v>
      </c>
      <c r="C9" s="37" t="s">
        <v>93</v>
      </c>
      <c r="D9" s="202"/>
      <c r="E9" s="201"/>
      <c r="F9" s="38"/>
      <c r="G9" s="39"/>
      <c r="H9" s="1" t="s">
        <v>458</v>
      </c>
    </row>
    <row r="10" spans="1:8" ht="38.25" customHeight="1" x14ac:dyDescent="0.2">
      <c r="A10" s="178">
        <v>2</v>
      </c>
      <c r="B10" s="11" t="s">
        <v>34</v>
      </c>
      <c r="C10" s="172" t="s">
        <v>247</v>
      </c>
      <c r="D10" s="202"/>
      <c r="E10" s="201"/>
      <c r="F10" s="8"/>
      <c r="G10" s="39"/>
      <c r="H10" s="1" t="s">
        <v>459</v>
      </c>
    </row>
    <row r="11" spans="1:8" ht="36.75" customHeight="1" x14ac:dyDescent="0.2">
      <c r="A11" s="178">
        <v>3</v>
      </c>
      <c r="B11" s="11" t="s">
        <v>32</v>
      </c>
      <c r="C11" s="20" t="s">
        <v>248</v>
      </c>
      <c r="D11" s="202"/>
      <c r="E11" s="201"/>
      <c r="F11" s="8"/>
      <c r="G11" s="5"/>
      <c r="H11" s="1" t="s">
        <v>459</v>
      </c>
    </row>
    <row r="12" spans="1:8" ht="36.75" customHeight="1" x14ac:dyDescent="0.2">
      <c r="A12" s="178">
        <v>4</v>
      </c>
      <c r="B12" s="11" t="s">
        <v>395</v>
      </c>
      <c r="C12" s="20"/>
      <c r="D12" s="202"/>
      <c r="E12" s="201"/>
      <c r="F12" s="8"/>
      <c r="G12" s="5"/>
      <c r="H12" s="1" t="s">
        <v>458</v>
      </c>
    </row>
  </sheetData>
  <autoFilter ref="A8:H12" xr:uid="{ECE79E5E-904D-4F05-BDF0-6ABFD2F9299E}"/>
  <mergeCells count="10">
    <mergeCell ref="A6:A7"/>
    <mergeCell ref="B6:B7"/>
    <mergeCell ref="C6:C7"/>
    <mergeCell ref="D6:F6"/>
    <mergeCell ref="G6:G7"/>
    <mergeCell ref="A1:G1"/>
    <mergeCell ref="A2:G2"/>
    <mergeCell ref="D3:G3"/>
    <mergeCell ref="D4:G4"/>
    <mergeCell ref="D5:G5"/>
  </mergeCells>
  <dataValidations count="2">
    <dataValidation type="list" allowBlank="1" showInputMessage="1" showErrorMessage="1" sqref="E9:E12" xr:uid="{91D72849-AC52-47AA-9631-840699EFE5CF}">
      <formula1>"],√,ŧ,п,Ʃ,€,?,µ,ʘ,₸,ẽ,ɑ"</formula1>
    </dataValidation>
    <dataValidation type="custom" allowBlank="1" showInputMessage="1" showErrorMessage="1" errorTitle="ERROR" error="Debe poner N/A" sqref="D9:D11" xr:uid="{092368D7-7DE7-41D1-BDBF-EB184B39B729}">
      <formula1>AND(D9="N/A")</formula1>
    </dataValidation>
  </dataValidations>
  <pageMargins left="0.9055118110236221" right="0.59055118110236227" top="0.74803149606299213" bottom="0.6692913385826772" header="0.31496062992125984" footer="0.6692913385826772"/>
  <pageSetup scale="70" fitToWidth="0" fitToHeight="0" orientation="portrait" r:id="rId1"/>
  <headerFooter scaleWithDoc="0"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0504C-4960-4A71-851D-C84476FC365A}">
  <sheetPr codeName="Hoja12"/>
  <dimension ref="A1:H8"/>
  <sheetViews>
    <sheetView zoomScaleNormal="100" zoomScaleSheetLayoutView="90" workbookViewId="0">
      <selection activeCell="D8" sqref="D8"/>
    </sheetView>
  </sheetViews>
  <sheetFormatPr baseColWidth="10" defaultRowHeight="12.75" x14ac:dyDescent="0.2"/>
  <cols>
    <col min="1" max="1" width="4.5" style="13" customWidth="1"/>
    <col min="2" max="2" width="47.75" style="13" customWidth="1"/>
    <col min="3" max="3" width="48.375" style="23" hidden="1" customWidth="1"/>
    <col min="4" max="5" width="4.375" style="10" customWidth="1"/>
    <col min="6" max="6" width="13.875" style="10" customWidth="1"/>
    <col min="7" max="7" width="40.625" style="1" customWidth="1"/>
    <col min="8" max="16384" width="11" style="1"/>
  </cols>
  <sheetData>
    <row r="1" spans="1:8" ht="15" customHeight="1" x14ac:dyDescent="0.2">
      <c r="A1" s="329" t="s">
        <v>1</v>
      </c>
      <c r="B1" s="329"/>
      <c r="C1" s="329"/>
      <c r="D1" s="329"/>
      <c r="E1" s="329"/>
      <c r="F1" s="329"/>
      <c r="G1" s="329"/>
    </row>
    <row r="2" spans="1:8" ht="24.75" customHeight="1" x14ac:dyDescent="0.2">
      <c r="A2" s="329" t="s">
        <v>56</v>
      </c>
      <c r="B2" s="329"/>
      <c r="C2" s="329"/>
      <c r="D2" s="329"/>
      <c r="E2" s="329"/>
      <c r="F2" s="329"/>
      <c r="G2" s="329"/>
    </row>
    <row r="3" spans="1:8" ht="16.5" customHeight="1" x14ac:dyDescent="0.2">
      <c r="A3" s="177" t="s">
        <v>9</v>
      </c>
      <c r="B3" s="9"/>
      <c r="C3" s="21"/>
      <c r="D3" s="340">
        <f ca="1">+FormOperativo!D3</f>
        <v>45405</v>
      </c>
      <c r="E3" s="341"/>
      <c r="F3" s="341"/>
      <c r="G3" s="341"/>
    </row>
    <row r="4" spans="1:8" ht="16.5" customHeight="1" x14ac:dyDescent="0.2">
      <c r="A4" s="177" t="s">
        <v>11</v>
      </c>
      <c r="B4" s="7"/>
      <c r="C4" s="21"/>
      <c r="D4" s="340">
        <f>+FormOperativo!D4</f>
        <v>0</v>
      </c>
      <c r="E4" s="341"/>
      <c r="F4" s="341"/>
      <c r="G4" s="341"/>
    </row>
    <row r="5" spans="1:8" ht="15" customHeight="1" x14ac:dyDescent="0.2">
      <c r="A5" s="177" t="s">
        <v>10</v>
      </c>
      <c r="B5" s="7"/>
      <c r="C5" s="21"/>
      <c r="D5" s="340">
        <f>+FormOperativo!D5</f>
        <v>0</v>
      </c>
      <c r="E5" s="341"/>
      <c r="F5" s="341"/>
      <c r="G5" s="341"/>
    </row>
    <row r="6" spans="1:8" s="16" customFormat="1" ht="15" customHeight="1" x14ac:dyDescent="0.2">
      <c r="A6" s="338" t="s">
        <v>3</v>
      </c>
      <c r="B6" s="342" t="s">
        <v>12</v>
      </c>
      <c r="C6" s="334" t="s">
        <v>13</v>
      </c>
      <c r="D6" s="338" t="s">
        <v>14</v>
      </c>
      <c r="E6" s="338"/>
      <c r="F6" s="338"/>
      <c r="G6" s="334" t="s">
        <v>4</v>
      </c>
    </row>
    <row r="7" spans="1:8" s="10" customFormat="1" ht="16.5" customHeight="1" x14ac:dyDescent="0.2">
      <c r="A7" s="338"/>
      <c r="B7" s="343"/>
      <c r="C7" s="334"/>
      <c r="D7" s="17" t="s">
        <v>0</v>
      </c>
      <c r="E7" s="17" t="s">
        <v>2</v>
      </c>
      <c r="F7" s="17" t="s">
        <v>274</v>
      </c>
      <c r="G7" s="334"/>
    </row>
    <row r="8" spans="1:8" ht="135.75" customHeight="1" x14ac:dyDescent="0.2">
      <c r="A8" s="178">
        <v>1</v>
      </c>
      <c r="B8" s="12" t="s">
        <v>57</v>
      </c>
      <c r="C8" s="18" t="s">
        <v>242</v>
      </c>
      <c r="D8" s="202"/>
      <c r="E8" s="201"/>
      <c r="F8" s="8"/>
      <c r="G8" s="5"/>
      <c r="H8" s="1" t="s">
        <v>459</v>
      </c>
    </row>
  </sheetData>
  <autoFilter ref="A6:H8" xr:uid="{4AB0504C-4960-4A71-851D-C84476FC365A}">
    <filterColumn colId="3" showButton="0"/>
    <filterColumn colId="4" showButton="0"/>
  </autoFilter>
  <mergeCells count="10">
    <mergeCell ref="A6:A7"/>
    <mergeCell ref="B6:B7"/>
    <mergeCell ref="C6:C7"/>
    <mergeCell ref="D6:F6"/>
    <mergeCell ref="G6:G7"/>
    <mergeCell ref="A1:G1"/>
    <mergeCell ref="A2:G2"/>
    <mergeCell ref="D3:G3"/>
    <mergeCell ref="D4:G4"/>
    <mergeCell ref="D5:G5"/>
  </mergeCells>
  <dataValidations count="2">
    <dataValidation type="list" allowBlank="1" showInputMessage="1" showErrorMessage="1" sqref="E8" xr:uid="{9BCEC718-96B9-4189-95E2-8FCF85D097C9}">
      <formula1>"],√,ŧ,п,Ʃ,€,?,µ,ʘ,₸,ẽ,ɑ"</formula1>
    </dataValidation>
    <dataValidation type="custom" allowBlank="1" showInputMessage="1" showErrorMessage="1" errorTitle="ERROR" error="Debe poner N/A" sqref="D8" xr:uid="{C0ED8597-1045-4D47-9770-3098ED47E8C9}">
      <formula1>AND(D8="N/A")</formula1>
    </dataValidation>
  </dataValidations>
  <pageMargins left="0.70866141732283472" right="0.39370078740157483" top="0.55118110236220474" bottom="0.47244094488188981" header="0.31496062992125984" footer="0.6692913385826772"/>
  <pageSetup scale="75" fitToWidth="0" fitToHeight="0" orientation="portrait" r:id="rId1"/>
  <headerFooter scaleWithDoc="0"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806CF-C959-43AD-91CE-3910501CA766}">
  <sheetPr codeName="Hoja17"/>
  <dimension ref="A1:H8"/>
  <sheetViews>
    <sheetView zoomScaleNormal="100" zoomScaleSheetLayoutView="90" workbookViewId="0">
      <selection activeCell="A8" sqref="A8"/>
    </sheetView>
  </sheetViews>
  <sheetFormatPr baseColWidth="10" defaultRowHeight="12.75" x14ac:dyDescent="0.2"/>
  <cols>
    <col min="1" max="1" width="4.5" style="13" customWidth="1"/>
    <col min="2" max="2" width="47.75" style="13" customWidth="1"/>
    <col min="3" max="3" width="48.375" style="23" hidden="1" customWidth="1"/>
    <col min="4" max="5" width="4.375" style="10" customWidth="1"/>
    <col min="6" max="6" width="13.875" style="10" customWidth="1"/>
    <col min="7" max="7" width="40.625" style="1" customWidth="1"/>
    <col min="8" max="16384" width="11" style="1"/>
  </cols>
  <sheetData>
    <row r="1" spans="1:8" ht="15" customHeight="1" x14ac:dyDescent="0.2">
      <c r="A1" s="329" t="s">
        <v>1</v>
      </c>
      <c r="B1" s="329"/>
      <c r="C1" s="329"/>
      <c r="D1" s="329"/>
      <c r="E1" s="329"/>
      <c r="F1" s="329"/>
      <c r="G1" s="329"/>
    </row>
    <row r="2" spans="1:8" ht="24.75" customHeight="1" x14ac:dyDescent="0.2">
      <c r="A2" s="329" t="s">
        <v>252</v>
      </c>
      <c r="B2" s="329"/>
      <c r="C2" s="329"/>
      <c r="D2" s="329"/>
      <c r="E2" s="329"/>
      <c r="F2" s="329"/>
      <c r="G2" s="329"/>
    </row>
    <row r="3" spans="1:8" ht="16.5" customHeight="1" x14ac:dyDescent="0.2">
      <c r="A3" s="177" t="s">
        <v>9</v>
      </c>
      <c r="B3" s="9"/>
      <c r="C3" s="21"/>
      <c r="D3" s="340">
        <f ca="1">+FormOperativo!D3</f>
        <v>45405</v>
      </c>
      <c r="E3" s="341"/>
      <c r="F3" s="341"/>
      <c r="G3" s="341"/>
    </row>
    <row r="4" spans="1:8" ht="16.5" customHeight="1" x14ac:dyDescent="0.2">
      <c r="A4" s="177" t="s">
        <v>11</v>
      </c>
      <c r="B4" s="7"/>
      <c r="C4" s="21"/>
      <c r="D4" s="340">
        <f>+FormOperativo!D4</f>
        <v>0</v>
      </c>
      <c r="E4" s="341"/>
      <c r="F4" s="341"/>
      <c r="G4" s="341"/>
    </row>
    <row r="5" spans="1:8" ht="15" customHeight="1" x14ac:dyDescent="0.2">
      <c r="A5" s="177" t="s">
        <v>10</v>
      </c>
      <c r="B5" s="7"/>
      <c r="C5" s="21"/>
      <c r="D5" s="340">
        <f>+FormOperativo!D5</f>
        <v>0</v>
      </c>
      <c r="E5" s="341"/>
      <c r="F5" s="341"/>
      <c r="G5" s="341"/>
    </row>
    <row r="6" spans="1:8" s="16" customFormat="1" ht="15" customHeight="1" x14ac:dyDescent="0.2">
      <c r="A6" s="338" t="s">
        <v>3</v>
      </c>
      <c r="B6" s="334" t="s">
        <v>12</v>
      </c>
      <c r="C6" s="334" t="s">
        <v>13</v>
      </c>
      <c r="D6" s="334" t="s">
        <v>14</v>
      </c>
      <c r="E6" s="334"/>
      <c r="F6" s="334"/>
      <c r="G6" s="334" t="s">
        <v>4</v>
      </c>
    </row>
    <row r="7" spans="1:8" s="10" customFormat="1" ht="16.5" customHeight="1" x14ac:dyDescent="0.2">
      <c r="A7" s="338"/>
      <c r="B7" s="334"/>
      <c r="C7" s="334"/>
      <c r="D7" s="17" t="s">
        <v>0</v>
      </c>
      <c r="E7" s="17" t="s">
        <v>2</v>
      </c>
      <c r="F7" s="17" t="s">
        <v>274</v>
      </c>
      <c r="G7" s="334"/>
    </row>
    <row r="8" spans="1:8" ht="162.75" customHeight="1" x14ac:dyDescent="0.2">
      <c r="A8" s="178">
        <v>1</v>
      </c>
      <c r="B8" s="12" t="s">
        <v>270</v>
      </c>
      <c r="C8" s="4" t="s">
        <v>250</v>
      </c>
      <c r="D8" s="202"/>
      <c r="E8" s="201"/>
      <c r="F8" s="8"/>
      <c r="G8" s="5"/>
      <c r="H8" s="1" t="s">
        <v>458</v>
      </c>
    </row>
  </sheetData>
  <autoFilter ref="A6:H8" xr:uid="{1FA806CF-C959-43AD-91CE-3910501CA766}">
    <filterColumn colId="3" showButton="0"/>
    <filterColumn colId="4" showButton="0"/>
  </autoFilter>
  <mergeCells count="10">
    <mergeCell ref="A6:A7"/>
    <mergeCell ref="B6:B7"/>
    <mergeCell ref="C6:C7"/>
    <mergeCell ref="D6:F6"/>
    <mergeCell ref="G6:G7"/>
    <mergeCell ref="A1:G1"/>
    <mergeCell ref="A2:G2"/>
    <mergeCell ref="D3:G3"/>
    <mergeCell ref="D4:G4"/>
    <mergeCell ref="D5:G5"/>
  </mergeCells>
  <dataValidations count="2">
    <dataValidation type="list" allowBlank="1" showInputMessage="1" showErrorMessage="1" sqref="E8" xr:uid="{67056C9C-3EC5-401E-AC07-C63B7FDA0600}">
      <formula1>"],√,ŧ,п,Ʃ,€,?,µ,ʘ,₸,ẽ,ɑ"</formula1>
    </dataValidation>
    <dataValidation type="custom" allowBlank="1" showInputMessage="1" showErrorMessage="1" errorTitle="ERROR" error="Debe poner N/A" sqref="D8" xr:uid="{64BCD7A1-E0AD-499A-BE7B-8171F514E7D4}">
      <formula1>AND(D8="N/A")</formula1>
    </dataValidation>
  </dataValidations>
  <pageMargins left="0.70866141732283472" right="0.39370078740157483" top="0.55118110236220474" bottom="0.47244094488188981" header="0.31496062992125984" footer="0.6692913385826772"/>
  <pageSetup scale="75" fitToWidth="0" fitToHeight="0" orientation="portrait" r:id="rId1"/>
  <headerFooter scaleWithDoc="0"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tabColor rgb="FFFF0000"/>
  </sheetPr>
  <dimension ref="B2:F33"/>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13.75" style="41" customWidth="1"/>
    <col min="8" max="16384" width="8" style="41"/>
  </cols>
  <sheetData>
    <row r="2" spans="2:6" ht="15" x14ac:dyDescent="0.2">
      <c r="B2" s="345" t="s">
        <v>396</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t="38.25" hidden="1" x14ac:dyDescent="0.2">
      <c r="C8" s="23"/>
      <c r="D8" s="316"/>
      <c r="E8" s="318"/>
      <c r="F8" s="316" t="s">
        <v>461</v>
      </c>
    </row>
    <row r="9" spans="2:6" s="45" customFormat="1" ht="38.25" hidden="1" x14ac:dyDescent="0.2">
      <c r="C9" s="23"/>
      <c r="D9" s="316"/>
      <c r="E9" s="316"/>
      <c r="F9" s="316" t="s">
        <v>461</v>
      </c>
    </row>
    <row r="10" spans="2:6" s="45" customFormat="1" ht="38.25" hidden="1" x14ac:dyDescent="0.2">
      <c r="C10" s="23"/>
      <c r="D10" s="316"/>
      <c r="E10" s="318"/>
      <c r="F10" s="316" t="s">
        <v>461</v>
      </c>
    </row>
    <row r="11" spans="2:6" s="45" customFormat="1" ht="25.5" hidden="1" x14ac:dyDescent="0.2">
      <c r="C11" s="23"/>
      <c r="D11" s="317"/>
      <c r="E11" s="317"/>
      <c r="F11" s="316" t="s">
        <v>462</v>
      </c>
    </row>
    <row r="12" spans="2:6" s="45" customFormat="1" ht="25.5" hidden="1" x14ac:dyDescent="0.2">
      <c r="C12" s="23"/>
      <c r="D12" s="317"/>
      <c r="E12" s="317"/>
      <c r="F12" s="316" t="s">
        <v>462</v>
      </c>
    </row>
    <row r="13" spans="2:6" s="45" customFormat="1" ht="25.5" hidden="1" x14ac:dyDescent="0.2">
      <c r="C13" s="47"/>
      <c r="D13" s="317"/>
      <c r="E13" s="319"/>
      <c r="F13" s="316" t="s">
        <v>462</v>
      </c>
    </row>
    <row r="14" spans="2:6" s="45" customFormat="1" hidden="1" x14ac:dyDescent="0.2">
      <c r="C14" s="47"/>
      <c r="D14" s="43"/>
      <c r="E14" s="43"/>
      <c r="F14" s="43"/>
    </row>
    <row r="15" spans="2:6" hidden="1" x14ac:dyDescent="0.2">
      <c r="B15" s="45"/>
      <c r="C15" s="48"/>
      <c r="D15" s="49"/>
      <c r="E15" s="49"/>
      <c r="F15" s="49"/>
    </row>
    <row r="16" spans="2:6" hidden="1" x14ac:dyDescent="0.2">
      <c r="B16" s="45"/>
      <c r="C16" s="48"/>
      <c r="D16" s="49"/>
      <c r="E16" s="49"/>
      <c r="F16" s="49"/>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50"/>
      <c r="D21" s="49"/>
      <c r="E21" s="49"/>
      <c r="F21" s="49"/>
    </row>
    <row r="22" spans="2:6" hidden="1" x14ac:dyDescent="0.2">
      <c r="B22" s="45"/>
      <c r="C22" s="50"/>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ht="13.5" customHeight="1" x14ac:dyDescent="0.2">
      <c r="B30" s="45"/>
      <c r="C30" s="50"/>
      <c r="D30" s="49"/>
      <c r="E30" s="49"/>
      <c r="F30" s="49"/>
    </row>
    <row r="31" spans="2:6" x14ac:dyDescent="0.2">
      <c r="B31" s="45"/>
      <c r="C31" s="14" t="s">
        <v>123</v>
      </c>
      <c r="D31" s="51"/>
      <c r="E31" s="344" t="s">
        <v>124</v>
      </c>
      <c r="F31" s="344"/>
    </row>
    <row r="32" spans="2:6" s="45" customFormat="1" x14ac:dyDescent="0.2">
      <c r="C32" s="52" t="s">
        <v>125</v>
      </c>
      <c r="D32" s="51"/>
      <c r="E32" s="344" t="s">
        <v>126</v>
      </c>
      <c r="F32" s="344"/>
    </row>
    <row r="33" spans="2:3" x14ac:dyDescent="0.2">
      <c r="B33" s="45"/>
      <c r="C33" s="2"/>
    </row>
  </sheetData>
  <mergeCells count="8">
    <mergeCell ref="E31:F31"/>
    <mergeCell ref="E32:F32"/>
    <mergeCell ref="B2:D2"/>
    <mergeCell ref="B4:C4"/>
    <mergeCell ref="B5:C5"/>
    <mergeCell ref="D3:F3"/>
    <mergeCell ref="D4:F4"/>
    <mergeCell ref="D5:F5"/>
  </mergeCells>
  <conditionalFormatting sqref="B8:F25">
    <cfRule type="expression" dxfId="11"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3">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3.5" style="41" customWidth="1"/>
    <col min="8" max="16384" width="8" style="41"/>
  </cols>
  <sheetData>
    <row r="2" spans="2:6" ht="15" x14ac:dyDescent="0.2">
      <c r="B2" s="345" t="s">
        <v>397</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316"/>
      <c r="E8" s="320"/>
      <c r="F8" s="46" t="s">
        <v>463</v>
      </c>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10"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2">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1.125" style="41" customWidth="1"/>
    <col min="8" max="16384" width="8" style="41"/>
  </cols>
  <sheetData>
    <row r="2" spans="2:6" ht="15" x14ac:dyDescent="0.2">
      <c r="B2" s="345" t="s">
        <v>418</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316"/>
      <c r="E8" s="46"/>
      <c r="F8" s="46" t="s">
        <v>464</v>
      </c>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9"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4">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8.75" style="41" customWidth="1"/>
    <col min="8" max="16384" width="8" style="41"/>
  </cols>
  <sheetData>
    <row r="2" spans="2:6" ht="15" x14ac:dyDescent="0.2">
      <c r="B2" s="345" t="s">
        <v>127</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8"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272</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t="25.5" hidden="1" x14ac:dyDescent="0.2">
      <c r="C8" s="23"/>
      <c r="D8" s="46"/>
      <c r="E8" s="320"/>
      <c r="F8" s="316" t="s">
        <v>462</v>
      </c>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7"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273</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6"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5">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128</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5"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39E5E-2AD4-477F-8C00-FC20E7C134C1}">
  <sheetPr codeName="Hoja28">
    <tabColor rgb="FFFF0000"/>
  </sheetPr>
  <dimension ref="B2:F35"/>
  <sheetViews>
    <sheetView zoomScaleNormal="100" workbookViewId="0">
      <selection activeCell="A8" sqref="A8:XFD27"/>
    </sheetView>
  </sheetViews>
  <sheetFormatPr baseColWidth="10" defaultColWidth="8" defaultRowHeight="12.75" x14ac:dyDescent="0.2"/>
  <cols>
    <col min="1" max="1" width="2.875" style="41" customWidth="1"/>
    <col min="2" max="2" width="5.125" style="41" customWidth="1"/>
    <col min="3" max="3" width="67.875" style="41" customWidth="1"/>
    <col min="4" max="4" width="35" style="43" customWidth="1"/>
    <col min="5" max="5" width="10" style="43" bestFit="1" customWidth="1"/>
    <col min="6" max="6" width="21.875" style="43" bestFit="1" customWidth="1"/>
    <col min="7" max="7" width="25.875" style="41" customWidth="1"/>
    <col min="8" max="16384" width="8" style="41"/>
  </cols>
  <sheetData>
    <row r="2" spans="2:6" ht="15" x14ac:dyDescent="0.2">
      <c r="B2" s="345" t="s">
        <v>271</v>
      </c>
      <c r="C2" s="345"/>
      <c r="D2" s="345"/>
      <c r="E2" s="210"/>
      <c r="F2" s="210"/>
    </row>
    <row r="3" spans="2:6" ht="20.25" customHeight="1" x14ac:dyDescent="0.2">
      <c r="B3" s="40" t="s">
        <v>9</v>
      </c>
      <c r="C3" s="31"/>
      <c r="D3" s="347">
        <f ca="1">+FormOperativo!D3</f>
        <v>45405</v>
      </c>
      <c r="E3" s="348"/>
      <c r="F3" s="348"/>
    </row>
    <row r="4" spans="2:6" ht="20.25" customHeight="1" x14ac:dyDescent="0.2">
      <c r="B4" s="346" t="s">
        <v>11</v>
      </c>
      <c r="C4" s="346"/>
      <c r="D4" s="347">
        <f>+FormOperativo!D4</f>
        <v>0</v>
      </c>
      <c r="E4" s="348"/>
      <c r="F4" s="348"/>
    </row>
    <row r="5" spans="2:6" ht="20.25" customHeight="1" x14ac:dyDescent="0.2">
      <c r="B5" s="346" t="s">
        <v>10</v>
      </c>
      <c r="C5" s="346"/>
      <c r="D5" s="347">
        <f>+FormOperativo!D5</f>
        <v>0</v>
      </c>
      <c r="E5" s="348"/>
      <c r="F5" s="348"/>
    </row>
    <row r="6" spans="2:6" x14ac:dyDescent="0.2">
      <c r="B6" s="44"/>
      <c r="C6" s="42"/>
    </row>
    <row r="7" spans="2:6" s="45" customFormat="1" ht="31.5" x14ac:dyDescent="0.2">
      <c r="B7" s="228" t="s">
        <v>121</v>
      </c>
      <c r="C7" s="228" t="s">
        <v>122</v>
      </c>
      <c r="D7" s="228" t="s">
        <v>318</v>
      </c>
      <c r="E7" s="228" t="s">
        <v>317</v>
      </c>
      <c r="F7" s="228" t="s">
        <v>316</v>
      </c>
    </row>
    <row r="8" spans="2:6" s="45" customFormat="1" hidden="1" x14ac:dyDescent="0.2">
      <c r="C8" s="23"/>
      <c r="D8" s="46"/>
      <c r="E8" s="46"/>
      <c r="F8" s="46"/>
    </row>
    <row r="9" spans="2:6" s="45" customFormat="1" hidden="1" x14ac:dyDescent="0.2">
      <c r="C9" s="23"/>
      <c r="D9" s="46"/>
      <c r="E9" s="46"/>
      <c r="F9" s="46"/>
    </row>
    <row r="10" spans="2:6" s="45" customFormat="1" hidden="1" x14ac:dyDescent="0.2">
      <c r="C10" s="23"/>
      <c r="D10" s="46"/>
      <c r="E10" s="46"/>
      <c r="F10" s="46"/>
    </row>
    <row r="11" spans="2:6" s="45" customFormat="1" hidden="1" x14ac:dyDescent="0.2">
      <c r="C11" s="23"/>
      <c r="D11" s="46"/>
      <c r="E11" s="46"/>
      <c r="F11" s="46"/>
    </row>
    <row r="12" spans="2:6" s="45" customFormat="1" hidden="1" x14ac:dyDescent="0.2">
      <c r="C12" s="23"/>
      <c r="D12" s="43"/>
      <c r="E12" s="43"/>
      <c r="F12" s="43"/>
    </row>
    <row r="13" spans="2:6" s="45" customFormat="1" hidden="1" x14ac:dyDescent="0.2">
      <c r="C13" s="23"/>
      <c r="D13" s="43"/>
      <c r="E13" s="43"/>
      <c r="F13" s="43"/>
    </row>
    <row r="14" spans="2:6" s="45" customFormat="1" hidden="1" x14ac:dyDescent="0.2">
      <c r="C14" s="23"/>
      <c r="D14" s="43"/>
      <c r="E14" s="43"/>
      <c r="F14" s="43"/>
    </row>
    <row r="15" spans="2:6" s="45" customFormat="1" hidden="1" x14ac:dyDescent="0.2">
      <c r="C15" s="47"/>
      <c r="D15" s="43"/>
      <c r="E15" s="43"/>
      <c r="F15" s="43"/>
    </row>
    <row r="16" spans="2:6" s="45" customFormat="1" hidden="1" x14ac:dyDescent="0.2">
      <c r="C16" s="47"/>
      <c r="D16" s="43"/>
      <c r="E16" s="43"/>
      <c r="F16" s="43"/>
    </row>
    <row r="17" spans="2:6" hidden="1" x14ac:dyDescent="0.2">
      <c r="B17" s="45"/>
      <c r="C17" s="48"/>
      <c r="D17" s="49"/>
      <c r="E17" s="49"/>
      <c r="F17" s="49"/>
    </row>
    <row r="18" spans="2:6" hidden="1" x14ac:dyDescent="0.2">
      <c r="B18" s="45"/>
      <c r="C18" s="48"/>
      <c r="D18" s="49"/>
      <c r="E18" s="49"/>
      <c r="F18" s="49"/>
    </row>
    <row r="19" spans="2:6" hidden="1" x14ac:dyDescent="0.2">
      <c r="B19" s="45"/>
      <c r="C19" s="48"/>
      <c r="D19" s="49"/>
      <c r="E19" s="49"/>
      <c r="F19" s="49"/>
    </row>
    <row r="20" spans="2:6" hidden="1" x14ac:dyDescent="0.2">
      <c r="B20" s="45"/>
      <c r="C20" s="48"/>
      <c r="D20" s="49"/>
      <c r="E20" s="49"/>
      <c r="F20" s="49"/>
    </row>
    <row r="21" spans="2:6" hidden="1" x14ac:dyDescent="0.2">
      <c r="B21" s="45"/>
      <c r="C21" s="48"/>
      <c r="D21" s="49"/>
      <c r="E21" s="49"/>
      <c r="F21" s="49"/>
    </row>
    <row r="22" spans="2:6" hidden="1" x14ac:dyDescent="0.2">
      <c r="B22" s="45"/>
      <c r="C22" s="48"/>
      <c r="D22" s="49"/>
      <c r="E22" s="49"/>
      <c r="F22" s="49"/>
    </row>
    <row r="23" spans="2:6" hidden="1" x14ac:dyDescent="0.2">
      <c r="B23" s="45"/>
      <c r="C23" s="50"/>
      <c r="D23" s="49"/>
      <c r="E23" s="49"/>
      <c r="F23" s="49"/>
    </row>
    <row r="24" spans="2:6" hidden="1" x14ac:dyDescent="0.2">
      <c r="B24" s="45"/>
      <c r="C24" s="50"/>
      <c r="D24" s="49"/>
      <c r="E24" s="49"/>
      <c r="F24" s="49"/>
    </row>
    <row r="25" spans="2:6" hidden="1" x14ac:dyDescent="0.2">
      <c r="B25" s="45"/>
      <c r="C25" s="50"/>
      <c r="D25" s="49"/>
      <c r="E25" s="49"/>
      <c r="F25" s="49"/>
    </row>
    <row r="26" spans="2:6" hidden="1" x14ac:dyDescent="0.2">
      <c r="B26" s="45"/>
      <c r="C26" s="50"/>
      <c r="D26" s="49"/>
      <c r="E26" s="49"/>
      <c r="F26" s="49"/>
    </row>
    <row r="27" spans="2:6" hidden="1" x14ac:dyDescent="0.2">
      <c r="B27" s="45"/>
      <c r="C27" s="50"/>
      <c r="D27" s="49"/>
      <c r="E27" s="49"/>
      <c r="F27" s="49"/>
    </row>
    <row r="28" spans="2:6" x14ac:dyDescent="0.2">
      <c r="B28" s="45"/>
      <c r="C28" s="50"/>
      <c r="D28" s="49"/>
      <c r="E28" s="49"/>
      <c r="F28" s="49"/>
    </row>
    <row r="29" spans="2:6" x14ac:dyDescent="0.2">
      <c r="B29" s="45"/>
      <c r="C29" s="50"/>
      <c r="D29" s="49"/>
      <c r="E29" s="49"/>
      <c r="F29" s="49"/>
    </row>
    <row r="30" spans="2:6" x14ac:dyDescent="0.2">
      <c r="B30" s="45"/>
      <c r="C30" s="50"/>
      <c r="D30" s="49"/>
      <c r="E30" s="49"/>
      <c r="F30" s="49"/>
    </row>
    <row r="31" spans="2:6" x14ac:dyDescent="0.2">
      <c r="B31" s="45"/>
      <c r="C31" s="50"/>
      <c r="D31" s="49"/>
      <c r="E31" s="49"/>
      <c r="F31" s="49"/>
    </row>
    <row r="32" spans="2:6" ht="13.5" customHeight="1" x14ac:dyDescent="0.2">
      <c r="B32" s="45"/>
      <c r="C32" s="50"/>
      <c r="D32" s="49"/>
      <c r="E32" s="49"/>
      <c r="F32" s="49"/>
    </row>
    <row r="33" spans="2:6" x14ac:dyDescent="0.2">
      <c r="B33" s="45"/>
      <c r="C33" s="14" t="s">
        <v>123</v>
      </c>
      <c r="D33" s="51"/>
      <c r="E33" s="344" t="s">
        <v>124</v>
      </c>
      <c r="F33" s="344"/>
    </row>
    <row r="34" spans="2:6" s="45" customFormat="1" x14ac:dyDescent="0.2">
      <c r="C34" s="52" t="s">
        <v>125</v>
      </c>
      <c r="D34" s="51"/>
      <c r="E34" s="344" t="s">
        <v>126</v>
      </c>
      <c r="F34" s="344"/>
    </row>
    <row r="35" spans="2:6" x14ac:dyDescent="0.2">
      <c r="B35" s="45"/>
      <c r="C35" s="2"/>
    </row>
  </sheetData>
  <mergeCells count="8">
    <mergeCell ref="E33:F33"/>
    <mergeCell ref="E34:F34"/>
    <mergeCell ref="B2:D2"/>
    <mergeCell ref="B4:C4"/>
    <mergeCell ref="B5:C5"/>
    <mergeCell ref="D3:F3"/>
    <mergeCell ref="D4:F4"/>
    <mergeCell ref="D5:F5"/>
  </mergeCells>
  <conditionalFormatting sqref="B8:F27">
    <cfRule type="expression" dxfId="4" priority="1">
      <formula>ISNUMBER($B8)</formula>
    </cfRule>
  </conditionalFormatting>
  <pageMargins left="0.9055118110236221" right="0.70866141732283472" top="0.74803149606299213" bottom="0.55118110236220474" header="0.39370078740157483" footer="0.31496062992125984"/>
  <pageSetup scale="77" orientation="landscape" r:id="rId1"/>
  <headerFooter>
    <oddHeader xml:space="preserve">&amp;L&amp;G&amp;C&amp;"-,Negrita"&amp;14ANEXO FR-AI-002
</oddHeader>
  </headerFooter>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48741-1703-48A5-B15D-FA2D10D58C53}">
  <sheetPr codeName="Hoja9"/>
  <dimension ref="A1:C58"/>
  <sheetViews>
    <sheetView topLeftCell="A6" zoomScaleNormal="100" workbookViewId="0">
      <selection activeCell="B20" sqref="B20"/>
    </sheetView>
  </sheetViews>
  <sheetFormatPr baseColWidth="10" defaultRowHeight="15" x14ac:dyDescent="0.25"/>
  <cols>
    <col min="1" max="1" width="5.375" style="289" customWidth="1"/>
    <col min="2" max="2" width="69.25" style="289" customWidth="1"/>
    <col min="3" max="3" width="13.375" style="289" bestFit="1" customWidth="1"/>
    <col min="4" max="16384" width="11" style="289"/>
  </cols>
  <sheetData>
    <row r="1" spans="1:3" x14ac:dyDescent="0.25">
      <c r="A1" s="350" t="s">
        <v>422</v>
      </c>
      <c r="B1" s="350"/>
      <c r="C1" s="350"/>
    </row>
    <row r="2" spans="1:3" x14ac:dyDescent="0.25">
      <c r="A2" s="290" t="s">
        <v>129</v>
      </c>
      <c r="B2" s="290" t="s">
        <v>421</v>
      </c>
      <c r="C2" s="291" t="s">
        <v>419</v>
      </c>
    </row>
    <row r="3" spans="1:3" x14ac:dyDescent="0.25">
      <c r="A3" s="351" t="s">
        <v>420</v>
      </c>
      <c r="B3" s="351"/>
      <c r="C3" s="292"/>
    </row>
    <row r="4" spans="1:3" ht="25.5" x14ac:dyDescent="0.25">
      <c r="A4" s="293">
        <v>1</v>
      </c>
      <c r="B4" s="294" t="s">
        <v>426</v>
      </c>
      <c r="C4" s="295" t="s">
        <v>427</v>
      </c>
    </row>
    <row r="5" spans="1:3" x14ac:dyDescent="0.25">
      <c r="A5" s="293">
        <f t="shared" ref="A5:A28" si="0">+A4+1</f>
        <v>2</v>
      </c>
      <c r="B5" s="296" t="s">
        <v>449</v>
      </c>
      <c r="C5" s="295" t="s">
        <v>427</v>
      </c>
    </row>
    <row r="6" spans="1:3" x14ac:dyDescent="0.25">
      <c r="A6" s="293">
        <f t="shared" si="0"/>
        <v>3</v>
      </c>
      <c r="B6" s="295" t="s">
        <v>130</v>
      </c>
      <c r="C6" s="295" t="s">
        <v>427</v>
      </c>
    </row>
    <row r="7" spans="1:3" x14ac:dyDescent="0.25">
      <c r="A7" s="293">
        <f t="shared" si="0"/>
        <v>4</v>
      </c>
      <c r="B7" s="295" t="s">
        <v>465</v>
      </c>
      <c r="C7" s="295" t="s">
        <v>427</v>
      </c>
    </row>
    <row r="8" spans="1:3" x14ac:dyDescent="0.25">
      <c r="A8" s="293">
        <f t="shared" si="0"/>
        <v>5</v>
      </c>
      <c r="B8" s="295" t="s">
        <v>466</v>
      </c>
      <c r="C8" s="295" t="s">
        <v>427</v>
      </c>
    </row>
    <row r="9" spans="1:3" x14ac:dyDescent="0.25">
      <c r="A9" s="293">
        <f t="shared" si="0"/>
        <v>6</v>
      </c>
      <c r="B9" s="295" t="s">
        <v>262</v>
      </c>
      <c r="C9" s="295" t="s">
        <v>427</v>
      </c>
    </row>
    <row r="10" spans="1:3" x14ac:dyDescent="0.25">
      <c r="A10" s="293">
        <f t="shared" si="0"/>
        <v>7</v>
      </c>
      <c r="B10" s="295" t="s">
        <v>428</v>
      </c>
      <c r="C10" s="295" t="s">
        <v>427</v>
      </c>
    </row>
    <row r="11" spans="1:3" x14ac:dyDescent="0.25">
      <c r="A11" s="293">
        <f t="shared" si="0"/>
        <v>8</v>
      </c>
      <c r="B11" s="297" t="s">
        <v>131</v>
      </c>
      <c r="C11" s="295" t="s">
        <v>427</v>
      </c>
    </row>
    <row r="12" spans="1:3" x14ac:dyDescent="0.25">
      <c r="A12" s="293">
        <f t="shared" si="0"/>
        <v>9</v>
      </c>
      <c r="B12" s="297" t="s">
        <v>132</v>
      </c>
      <c r="C12" s="295" t="s">
        <v>427</v>
      </c>
    </row>
    <row r="13" spans="1:3" x14ac:dyDescent="0.25">
      <c r="A13" s="293">
        <f t="shared" si="0"/>
        <v>10</v>
      </c>
      <c r="B13" s="297" t="s">
        <v>133</v>
      </c>
      <c r="C13" s="295" t="s">
        <v>427</v>
      </c>
    </row>
    <row r="14" spans="1:3" x14ac:dyDescent="0.25">
      <c r="A14" s="293">
        <f t="shared" si="0"/>
        <v>11</v>
      </c>
      <c r="B14" s="297" t="s">
        <v>429</v>
      </c>
      <c r="C14" s="295" t="s">
        <v>427</v>
      </c>
    </row>
    <row r="15" spans="1:3" x14ac:dyDescent="0.25">
      <c r="A15" s="293">
        <f t="shared" si="0"/>
        <v>12</v>
      </c>
      <c r="B15" s="297" t="s">
        <v>134</v>
      </c>
      <c r="C15" s="295" t="s">
        <v>427</v>
      </c>
    </row>
    <row r="16" spans="1:3" x14ac:dyDescent="0.25">
      <c r="A16" s="293">
        <f t="shared" si="0"/>
        <v>13</v>
      </c>
      <c r="B16" s="297" t="s">
        <v>138</v>
      </c>
      <c r="C16" s="295" t="s">
        <v>427</v>
      </c>
    </row>
    <row r="17" spans="1:3" x14ac:dyDescent="0.25">
      <c r="A17" s="293">
        <f t="shared" si="0"/>
        <v>14</v>
      </c>
      <c r="B17" s="297" t="s">
        <v>266</v>
      </c>
      <c r="C17" s="295" t="s">
        <v>427</v>
      </c>
    </row>
    <row r="18" spans="1:3" x14ac:dyDescent="0.25">
      <c r="A18" s="293">
        <f t="shared" si="0"/>
        <v>15</v>
      </c>
      <c r="B18" s="297" t="s">
        <v>430</v>
      </c>
      <c r="C18" s="295" t="s">
        <v>427</v>
      </c>
    </row>
    <row r="19" spans="1:3" x14ac:dyDescent="0.25">
      <c r="A19" s="293">
        <f t="shared" si="0"/>
        <v>16</v>
      </c>
      <c r="B19" s="297" t="s">
        <v>431</v>
      </c>
      <c r="C19" s="295" t="s">
        <v>427</v>
      </c>
    </row>
    <row r="20" spans="1:3" ht="25.5" x14ac:dyDescent="0.25">
      <c r="A20" s="293">
        <f t="shared" si="0"/>
        <v>17</v>
      </c>
      <c r="B20" s="298" t="s">
        <v>432</v>
      </c>
      <c r="C20" s="295" t="s">
        <v>427</v>
      </c>
    </row>
    <row r="21" spans="1:3" ht="25.5" x14ac:dyDescent="0.25">
      <c r="A21" s="293">
        <f t="shared" si="0"/>
        <v>18</v>
      </c>
      <c r="B21" s="298" t="s">
        <v>433</v>
      </c>
      <c r="C21" s="295" t="s">
        <v>427</v>
      </c>
    </row>
    <row r="22" spans="1:3" ht="25.5" x14ac:dyDescent="0.25">
      <c r="A22" s="293">
        <f t="shared" si="0"/>
        <v>19</v>
      </c>
      <c r="B22" s="299" t="s">
        <v>467</v>
      </c>
      <c r="C22" s="295" t="s">
        <v>427</v>
      </c>
    </row>
    <row r="23" spans="1:3" x14ac:dyDescent="0.25">
      <c r="A23" s="293">
        <f t="shared" si="0"/>
        <v>20</v>
      </c>
      <c r="B23" s="297" t="s">
        <v>434</v>
      </c>
      <c r="C23" s="295" t="s">
        <v>427</v>
      </c>
    </row>
    <row r="24" spans="1:3" x14ac:dyDescent="0.25">
      <c r="A24" s="293">
        <f t="shared" si="0"/>
        <v>21</v>
      </c>
      <c r="B24" s="297" t="s">
        <v>435</v>
      </c>
      <c r="C24" s="295" t="s">
        <v>427</v>
      </c>
    </row>
    <row r="25" spans="1:3" ht="26.25" x14ac:dyDescent="0.25">
      <c r="A25" s="293">
        <f t="shared" si="0"/>
        <v>22</v>
      </c>
      <c r="B25" s="296" t="s">
        <v>436</v>
      </c>
      <c r="C25" s="295" t="s">
        <v>427</v>
      </c>
    </row>
    <row r="26" spans="1:3" ht="26.25" x14ac:dyDescent="0.25">
      <c r="A26" s="293">
        <f t="shared" si="0"/>
        <v>23</v>
      </c>
      <c r="B26" s="296" t="s">
        <v>437</v>
      </c>
      <c r="C26" s="295" t="s">
        <v>427</v>
      </c>
    </row>
    <row r="27" spans="1:3" ht="26.25" x14ac:dyDescent="0.25">
      <c r="A27" s="293">
        <f t="shared" si="0"/>
        <v>24</v>
      </c>
      <c r="B27" s="296" t="s">
        <v>438</v>
      </c>
      <c r="C27" s="295" t="s">
        <v>439</v>
      </c>
    </row>
    <row r="28" spans="1:3" ht="26.25" x14ac:dyDescent="0.25">
      <c r="A28" s="293">
        <f t="shared" si="0"/>
        <v>25</v>
      </c>
      <c r="B28" s="296" t="s">
        <v>440</v>
      </c>
      <c r="C28" s="295" t="s">
        <v>439</v>
      </c>
    </row>
    <row r="29" spans="1:3" x14ac:dyDescent="0.25">
      <c r="A29" s="352" t="s">
        <v>441</v>
      </c>
      <c r="B29" s="352"/>
      <c r="C29" s="295"/>
    </row>
    <row r="30" spans="1:3" x14ac:dyDescent="0.25">
      <c r="A30" s="293">
        <v>26</v>
      </c>
      <c r="B30" s="298" t="s">
        <v>135</v>
      </c>
      <c r="C30" s="295" t="s">
        <v>427</v>
      </c>
    </row>
    <row r="31" spans="1:3" ht="25.5" x14ac:dyDescent="0.25">
      <c r="A31" s="293">
        <f>+A30+1</f>
        <v>27</v>
      </c>
      <c r="B31" s="298" t="s">
        <v>442</v>
      </c>
      <c r="C31" s="295" t="s">
        <v>427</v>
      </c>
    </row>
    <row r="32" spans="1:3" x14ac:dyDescent="0.25">
      <c r="A32" s="293">
        <f t="shared" ref="A32:A33" si="1">+A31+1</f>
        <v>28</v>
      </c>
      <c r="B32" s="298" t="s">
        <v>443</v>
      </c>
      <c r="C32" s="295" t="s">
        <v>427</v>
      </c>
    </row>
    <row r="33" spans="1:3" x14ac:dyDescent="0.25">
      <c r="A33" s="293">
        <f t="shared" si="1"/>
        <v>29</v>
      </c>
      <c r="B33" s="298" t="s">
        <v>136</v>
      </c>
      <c r="C33" s="295" t="s">
        <v>427</v>
      </c>
    </row>
    <row r="34" spans="1:3" x14ac:dyDescent="0.25">
      <c r="A34" s="352" t="s">
        <v>265</v>
      </c>
      <c r="B34" s="352"/>
      <c r="C34" s="295"/>
    </row>
    <row r="35" spans="1:3" ht="25.5" x14ac:dyDescent="0.25">
      <c r="A35" s="293">
        <v>30</v>
      </c>
      <c r="B35" s="298" t="s">
        <v>444</v>
      </c>
      <c r="C35" s="295" t="s">
        <v>427</v>
      </c>
    </row>
    <row r="36" spans="1:3" ht="26.25" x14ac:dyDescent="0.25">
      <c r="A36" s="293">
        <f>+A35+1</f>
        <v>31</v>
      </c>
      <c r="B36" s="296" t="s">
        <v>450</v>
      </c>
      <c r="C36" s="300" t="s">
        <v>445</v>
      </c>
    </row>
    <row r="37" spans="1:3" ht="25.5" x14ac:dyDescent="0.25">
      <c r="A37" s="293">
        <f t="shared" ref="A37:A41" si="2">+A36+1</f>
        <v>32</v>
      </c>
      <c r="B37" s="299" t="s">
        <v>468</v>
      </c>
      <c r="C37" s="300" t="s">
        <v>445</v>
      </c>
    </row>
    <row r="38" spans="1:3" ht="26.25" x14ac:dyDescent="0.25">
      <c r="A38" s="293">
        <f t="shared" si="2"/>
        <v>33</v>
      </c>
      <c r="B38" s="296" t="s">
        <v>446</v>
      </c>
      <c r="C38" s="300" t="s">
        <v>445</v>
      </c>
    </row>
    <row r="39" spans="1:3" ht="26.25" x14ac:dyDescent="0.25">
      <c r="A39" s="293">
        <f t="shared" si="2"/>
        <v>34</v>
      </c>
      <c r="B39" s="296" t="s">
        <v>447</v>
      </c>
      <c r="C39" s="300" t="s">
        <v>445</v>
      </c>
    </row>
    <row r="40" spans="1:3" x14ac:dyDescent="0.25">
      <c r="A40" s="293">
        <f t="shared" si="2"/>
        <v>35</v>
      </c>
      <c r="B40" s="296" t="s">
        <v>448</v>
      </c>
      <c r="C40" s="300" t="s">
        <v>427</v>
      </c>
    </row>
    <row r="41" spans="1:3" x14ac:dyDescent="0.25">
      <c r="A41" s="293">
        <f t="shared" si="2"/>
        <v>36</v>
      </c>
      <c r="B41" s="297" t="s">
        <v>137</v>
      </c>
      <c r="C41" s="300" t="s">
        <v>427</v>
      </c>
    </row>
    <row r="42" spans="1:3" ht="26.25" x14ac:dyDescent="0.25">
      <c r="A42" s="293">
        <v>37</v>
      </c>
      <c r="B42" s="296" t="s">
        <v>451</v>
      </c>
      <c r="C42" s="300" t="s">
        <v>445</v>
      </c>
    </row>
    <row r="43" spans="1:3" x14ac:dyDescent="0.25">
      <c r="A43" s="352" t="s">
        <v>268</v>
      </c>
      <c r="B43" s="352"/>
      <c r="C43" s="295"/>
    </row>
    <row r="44" spans="1:3" x14ac:dyDescent="0.25">
      <c r="A44" s="293">
        <v>39</v>
      </c>
      <c r="B44" s="292" t="s">
        <v>145</v>
      </c>
      <c r="C44" s="300" t="s">
        <v>427</v>
      </c>
    </row>
    <row r="45" spans="1:3" x14ac:dyDescent="0.25">
      <c r="A45" s="293">
        <f>+A44+1</f>
        <v>40</v>
      </c>
      <c r="B45" s="292" t="s">
        <v>146</v>
      </c>
      <c r="C45" s="300" t="s">
        <v>427</v>
      </c>
    </row>
    <row r="46" spans="1:3" ht="26.25" x14ac:dyDescent="0.25">
      <c r="A46" s="293">
        <f t="shared" ref="A46:A53" si="3">+A45+1</f>
        <v>41</v>
      </c>
      <c r="B46" s="296" t="s">
        <v>469</v>
      </c>
      <c r="C46" s="300" t="s">
        <v>427</v>
      </c>
    </row>
    <row r="47" spans="1:3" x14ac:dyDescent="0.25">
      <c r="A47" s="293">
        <f t="shared" si="3"/>
        <v>42</v>
      </c>
      <c r="B47" s="295" t="s">
        <v>141</v>
      </c>
      <c r="C47" s="300" t="s">
        <v>427</v>
      </c>
    </row>
    <row r="48" spans="1:3" x14ac:dyDescent="0.25">
      <c r="A48" s="293">
        <f t="shared" si="3"/>
        <v>43</v>
      </c>
      <c r="B48" s="295" t="s">
        <v>142</v>
      </c>
      <c r="C48" s="300" t="s">
        <v>427</v>
      </c>
    </row>
    <row r="49" spans="1:3" ht="26.25" x14ac:dyDescent="0.25">
      <c r="A49" s="293">
        <f t="shared" si="3"/>
        <v>44</v>
      </c>
      <c r="B49" s="296" t="s">
        <v>452</v>
      </c>
      <c r="C49" s="300" t="s">
        <v>427</v>
      </c>
    </row>
    <row r="50" spans="1:3" x14ac:dyDescent="0.25">
      <c r="A50" s="293">
        <f t="shared" si="3"/>
        <v>45</v>
      </c>
      <c r="B50" s="296" t="s">
        <v>139</v>
      </c>
      <c r="C50" s="300" t="s">
        <v>427</v>
      </c>
    </row>
    <row r="51" spans="1:3" x14ac:dyDescent="0.25">
      <c r="A51" s="293">
        <f t="shared" si="3"/>
        <v>46</v>
      </c>
      <c r="B51" s="296" t="s">
        <v>140</v>
      </c>
      <c r="C51" s="300" t="s">
        <v>427</v>
      </c>
    </row>
    <row r="52" spans="1:3" x14ac:dyDescent="0.25">
      <c r="A52" s="293">
        <f t="shared" si="3"/>
        <v>47</v>
      </c>
      <c r="B52" s="301" t="s">
        <v>143</v>
      </c>
      <c r="C52" s="300" t="s">
        <v>427</v>
      </c>
    </row>
    <row r="53" spans="1:3" x14ac:dyDescent="0.25">
      <c r="A53" s="293">
        <f t="shared" si="3"/>
        <v>48</v>
      </c>
      <c r="B53" s="292" t="s">
        <v>144</v>
      </c>
      <c r="C53" s="300" t="s">
        <v>427</v>
      </c>
    </row>
    <row r="54" spans="1:3" x14ac:dyDescent="0.25">
      <c r="A54" s="349" t="s">
        <v>267</v>
      </c>
      <c r="B54" s="349"/>
      <c r="C54" s="295"/>
    </row>
    <row r="55" spans="1:3" x14ac:dyDescent="0.25">
      <c r="A55" s="302">
        <v>49</v>
      </c>
      <c r="B55" s="297" t="s">
        <v>147</v>
      </c>
      <c r="C55" s="300" t="s">
        <v>427</v>
      </c>
    </row>
    <row r="56" spans="1:3" x14ac:dyDescent="0.25">
      <c r="A56" s="302">
        <v>50</v>
      </c>
      <c r="B56" s="297" t="s">
        <v>148</v>
      </c>
      <c r="C56" s="300" t="s">
        <v>427</v>
      </c>
    </row>
    <row r="57" spans="1:3" x14ac:dyDescent="0.25">
      <c r="A57" s="349" t="s">
        <v>269</v>
      </c>
      <c r="B57" s="349"/>
      <c r="C57" s="295"/>
    </row>
    <row r="58" spans="1:3" x14ac:dyDescent="0.25">
      <c r="A58" s="302">
        <v>51</v>
      </c>
      <c r="B58" s="292" t="s">
        <v>149</v>
      </c>
      <c r="C58" s="300" t="s">
        <v>427</v>
      </c>
    </row>
  </sheetData>
  <mergeCells count="7">
    <mergeCell ref="A57:B57"/>
    <mergeCell ref="A1:C1"/>
    <mergeCell ref="A3:B3"/>
    <mergeCell ref="A29:B29"/>
    <mergeCell ref="A34:B34"/>
    <mergeCell ref="A43:B43"/>
    <mergeCell ref="A54:B54"/>
  </mergeCells>
  <pageMargins left="0.70866141732283472" right="0.70866141732283472" top="0.74803149606299213" bottom="0.74803149606299213" header="0.31496062992125984" footer="0.31496062992125984"/>
  <pageSetup paperSize="9" scale="91"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09C79-9158-493B-988E-322A776B8AD6}">
  <sheetPr codeName="Hoja13"/>
  <dimension ref="A1:V70"/>
  <sheetViews>
    <sheetView showGridLines="0" showWhiteSpace="0"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64"/>
      <c r="H1" s="363" t="s">
        <v>256</v>
      </c>
      <c r="I1" s="363"/>
      <c r="J1" s="363"/>
      <c r="K1" s="363"/>
      <c r="L1" s="363"/>
      <c r="M1" s="363"/>
      <c r="N1" s="64"/>
      <c r="O1" s="64"/>
      <c r="P1" s="64"/>
      <c r="Q1" s="64"/>
      <c r="R1" s="64"/>
      <c r="S1" s="64"/>
      <c r="T1" s="65"/>
    </row>
    <row r="2" spans="1:20" ht="17.25" customHeight="1" x14ac:dyDescent="0.2">
      <c r="A2" s="67"/>
      <c r="B2" s="68" t="s">
        <v>10</v>
      </c>
      <c r="C2" s="68"/>
      <c r="D2" s="68"/>
      <c r="E2" s="353" t="s">
        <v>287</v>
      </c>
      <c r="F2" s="353"/>
      <c r="G2" s="353"/>
      <c r="H2" s="353"/>
      <c r="I2" s="353"/>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54" t="s">
        <v>503</v>
      </c>
      <c r="G4" s="354"/>
      <c r="H4" s="354"/>
      <c r="I4" s="354"/>
      <c r="J4" s="354"/>
      <c r="K4" s="354"/>
      <c r="L4" s="354"/>
      <c r="M4" s="354"/>
      <c r="N4" s="354"/>
      <c r="O4" s="354"/>
      <c r="P4" s="354"/>
      <c r="Q4" s="354"/>
      <c r="R4" s="354"/>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54" t="s">
        <v>507</v>
      </c>
      <c r="G6" s="354"/>
      <c r="H6" s="354"/>
      <c r="I6" s="354"/>
      <c r="J6" s="354"/>
      <c r="K6" s="354"/>
      <c r="L6" s="354"/>
      <c r="M6" s="354"/>
      <c r="N6" s="354"/>
      <c r="O6" s="354"/>
      <c r="P6" s="354"/>
      <c r="Q6" s="354"/>
      <c r="R6" s="354"/>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54" t="s">
        <v>287</v>
      </c>
      <c r="E8" s="354"/>
      <c r="F8" s="354"/>
      <c r="G8" s="354"/>
      <c r="H8" s="72"/>
      <c r="I8" s="194" t="s">
        <v>257</v>
      </c>
      <c r="J8" s="355">
        <v>0.3298611111111111</v>
      </c>
      <c r="K8" s="355"/>
      <c r="L8" s="356" t="s">
        <v>258</v>
      </c>
      <c r="M8" s="356"/>
      <c r="N8" s="195">
        <v>0.37152777777777779</v>
      </c>
      <c r="O8" s="357" t="s">
        <v>259</v>
      </c>
      <c r="P8" s="358"/>
      <c r="Q8" s="359">
        <v>45405</v>
      </c>
      <c r="R8" s="354"/>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70" t="s">
        <v>156</v>
      </c>
      <c r="C16" s="371"/>
      <c r="E16" s="85" t="s">
        <v>157</v>
      </c>
      <c r="F16" s="85"/>
      <c r="G16" s="85"/>
      <c r="H16" s="85"/>
      <c r="I16" s="85" t="s">
        <v>158</v>
      </c>
      <c r="J16" s="85"/>
      <c r="K16" s="370" t="s">
        <v>156</v>
      </c>
      <c r="L16" s="371"/>
      <c r="M16" s="85"/>
      <c r="N16" s="85" t="s">
        <v>157</v>
      </c>
      <c r="O16" s="85"/>
      <c r="P16" s="85"/>
      <c r="Q16" s="85"/>
      <c r="R16" s="85" t="s">
        <v>158</v>
      </c>
      <c r="S16" s="86"/>
      <c r="T16" s="75"/>
    </row>
    <row r="17" spans="1:22" x14ac:dyDescent="0.15">
      <c r="A17" s="67"/>
      <c r="B17" s="81"/>
      <c r="C17" s="87"/>
      <c r="D17" s="87"/>
      <c r="E17" s="87"/>
      <c r="F17" s="87"/>
      <c r="G17" s="87"/>
      <c r="H17" s="87"/>
      <c r="I17" s="87"/>
      <c r="J17" s="87"/>
      <c r="K17" s="88"/>
      <c r="L17" s="87"/>
      <c r="S17" s="82"/>
      <c r="T17" s="75"/>
    </row>
    <row r="18" spans="1:22"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2" ht="15" customHeight="1" x14ac:dyDescent="0.15">
      <c r="A19" s="67"/>
      <c r="B19" s="81" t="s">
        <v>159</v>
      </c>
      <c r="C19" s="87">
        <v>0.1</v>
      </c>
      <c r="D19" s="87"/>
      <c r="E19" s="89">
        <f>16+6</f>
        <v>22</v>
      </c>
      <c r="F19" s="87"/>
      <c r="G19" s="87"/>
      <c r="H19" s="87"/>
      <c r="I19" s="90">
        <f t="shared" ref="I19:I24" si="1">C19*E19</f>
        <v>2.2000000000000002</v>
      </c>
      <c r="J19" s="87"/>
      <c r="K19" s="88" t="s">
        <v>159</v>
      </c>
      <c r="L19" s="87">
        <v>10</v>
      </c>
      <c r="N19" s="173">
        <f>64+25</f>
        <v>89</v>
      </c>
      <c r="O19" s="73"/>
      <c r="P19" s="87"/>
      <c r="Q19" s="87"/>
      <c r="R19" s="90">
        <f t="shared" si="0"/>
        <v>890</v>
      </c>
      <c r="S19" s="92"/>
      <c r="T19" s="75"/>
    </row>
    <row r="20" spans="1:22" ht="15" customHeight="1" x14ac:dyDescent="0.15">
      <c r="A20" s="67"/>
      <c r="B20" s="81" t="s">
        <v>159</v>
      </c>
      <c r="C20" s="87">
        <v>0.2</v>
      </c>
      <c r="D20" s="87"/>
      <c r="E20" s="89">
        <f>54+317</f>
        <v>371</v>
      </c>
      <c r="F20" s="87"/>
      <c r="G20" s="87"/>
      <c r="H20" s="87"/>
      <c r="I20" s="90">
        <f t="shared" si="1"/>
        <v>74.2</v>
      </c>
      <c r="J20" s="87"/>
      <c r="K20" s="88" t="s">
        <v>159</v>
      </c>
      <c r="L20" s="87">
        <v>20</v>
      </c>
      <c r="N20" s="173">
        <f>31+25</f>
        <v>56</v>
      </c>
      <c r="O20" s="73"/>
      <c r="P20" s="87"/>
      <c r="Q20" s="87"/>
      <c r="R20" s="90">
        <f t="shared" si="0"/>
        <v>1120</v>
      </c>
      <c r="S20" s="92"/>
      <c r="T20" s="75"/>
    </row>
    <row r="21" spans="1:22" ht="15" customHeight="1" x14ac:dyDescent="0.15">
      <c r="A21" s="67"/>
      <c r="B21" s="81" t="s">
        <v>159</v>
      </c>
      <c r="C21" s="87">
        <v>0.5</v>
      </c>
      <c r="D21" s="87"/>
      <c r="E21" s="89">
        <f>236+409</f>
        <v>645</v>
      </c>
      <c r="F21" s="87"/>
      <c r="G21" s="87"/>
      <c r="H21" s="87"/>
      <c r="I21" s="90">
        <f t="shared" si="1"/>
        <v>322.5</v>
      </c>
      <c r="J21" s="87"/>
      <c r="K21" s="88" t="s">
        <v>159</v>
      </c>
      <c r="L21" s="87">
        <v>50</v>
      </c>
      <c r="N21" s="173">
        <f>87+44</f>
        <v>131</v>
      </c>
      <c r="O21" s="73"/>
      <c r="P21" s="87"/>
      <c r="Q21" s="87"/>
      <c r="R21" s="90">
        <f t="shared" si="0"/>
        <v>6550</v>
      </c>
      <c r="S21" s="92"/>
      <c r="T21" s="75"/>
    </row>
    <row r="22" spans="1:22" ht="15" customHeight="1" x14ac:dyDescent="0.15">
      <c r="A22" s="67"/>
      <c r="B22" s="81" t="s">
        <v>159</v>
      </c>
      <c r="C22" s="87">
        <v>1</v>
      </c>
      <c r="D22" s="87"/>
      <c r="E22" s="89">
        <f>304+184+1800</f>
        <v>2288</v>
      </c>
      <c r="F22" s="87"/>
      <c r="G22" s="87"/>
      <c r="H22" s="87"/>
      <c r="I22" s="90">
        <f t="shared" si="1"/>
        <v>2288</v>
      </c>
      <c r="J22" s="87"/>
      <c r="K22" s="88" t="s">
        <v>159</v>
      </c>
      <c r="L22" s="87">
        <v>100</v>
      </c>
      <c r="N22" s="173">
        <f>13+133+500</f>
        <v>646</v>
      </c>
      <c r="O22" s="73"/>
      <c r="P22" s="87"/>
      <c r="Q22" s="87"/>
      <c r="R22" s="90">
        <f t="shared" si="0"/>
        <v>64600</v>
      </c>
      <c r="S22" s="92"/>
      <c r="T22" s="75"/>
    </row>
    <row r="23" spans="1:22" ht="15" customHeight="1" x14ac:dyDescent="0.15">
      <c r="A23" s="67"/>
      <c r="B23" s="81" t="s">
        <v>159</v>
      </c>
      <c r="C23" s="87">
        <v>2</v>
      </c>
      <c r="D23" s="87"/>
      <c r="E23" s="89">
        <f>50+300+650</f>
        <v>1000</v>
      </c>
      <c r="F23" s="87"/>
      <c r="G23" s="87"/>
      <c r="H23" s="87"/>
      <c r="I23" s="90">
        <f t="shared" si="1"/>
        <v>2000</v>
      </c>
      <c r="J23" s="87"/>
      <c r="K23" s="88" t="s">
        <v>159</v>
      </c>
      <c r="L23" s="87">
        <v>200</v>
      </c>
      <c r="N23" s="173">
        <f>5+12+250</f>
        <v>267</v>
      </c>
      <c r="O23" s="73"/>
      <c r="P23" s="87"/>
      <c r="Q23" s="87"/>
      <c r="R23" s="90">
        <f t="shared" si="0"/>
        <v>53400</v>
      </c>
      <c r="S23" s="92"/>
      <c r="T23" s="75"/>
    </row>
    <row r="24" spans="1:22" ht="15" customHeight="1" x14ac:dyDescent="0.15">
      <c r="A24" s="67"/>
      <c r="B24" s="81" t="s">
        <v>159</v>
      </c>
      <c r="C24" s="87">
        <v>5</v>
      </c>
      <c r="D24" s="87"/>
      <c r="E24" s="89">
        <f>15+47+600</f>
        <v>662</v>
      </c>
      <c r="F24" s="87"/>
      <c r="G24" s="87"/>
      <c r="H24" s="87"/>
      <c r="I24" s="90">
        <f t="shared" si="1"/>
        <v>3310</v>
      </c>
      <c r="J24" s="87"/>
      <c r="K24" s="88" t="s">
        <v>159</v>
      </c>
      <c r="L24" s="87" t="s">
        <v>160</v>
      </c>
      <c r="N24" s="173"/>
      <c r="O24" s="73"/>
      <c r="P24" s="87"/>
      <c r="Q24" s="87"/>
      <c r="R24" s="90"/>
      <c r="S24" s="92"/>
      <c r="T24" s="75"/>
    </row>
    <row r="25" spans="1:22" ht="15.75" customHeight="1" thickBot="1" x14ac:dyDescent="0.2">
      <c r="A25" s="67"/>
      <c r="B25" s="81"/>
      <c r="C25" s="87"/>
      <c r="D25" s="87"/>
      <c r="E25" s="73"/>
      <c r="F25" s="87"/>
      <c r="G25" s="87"/>
      <c r="H25" s="87"/>
      <c r="I25" s="73"/>
      <c r="J25" s="87"/>
      <c r="K25" s="88"/>
      <c r="L25" s="87"/>
      <c r="N25" s="73"/>
      <c r="O25" s="73"/>
      <c r="P25" s="87"/>
      <c r="Q25" s="87"/>
      <c r="R25" s="73"/>
      <c r="S25" s="92"/>
      <c r="T25" s="75"/>
      <c r="U25" s="87">
        <f>+U26-V26</f>
        <v>126037.5</v>
      </c>
    </row>
    <row r="26" spans="1:22" ht="15" customHeight="1" thickBot="1" x14ac:dyDescent="0.2">
      <c r="A26" s="67"/>
      <c r="B26" s="81"/>
      <c r="C26" s="73"/>
      <c r="G26" s="93" t="s">
        <v>161</v>
      </c>
      <c r="I26" s="94">
        <f>SUM(I18:I24)</f>
        <v>7996.9</v>
      </c>
      <c r="K26" s="81"/>
      <c r="L26" s="73"/>
      <c r="P26" s="93" t="s">
        <v>162</v>
      </c>
      <c r="R26" s="94">
        <f>SUM(R18:R24)</f>
        <v>126560</v>
      </c>
      <c r="S26" s="82"/>
      <c r="T26" s="75"/>
      <c r="U26" s="87">
        <f>+R26+I26</f>
        <v>134556.9</v>
      </c>
      <c r="V26" s="66">
        <v>8519.4</v>
      </c>
    </row>
    <row r="27" spans="1:22"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2" ht="6.75" customHeight="1" thickTop="1" x14ac:dyDescent="0.15">
      <c r="A28" s="67"/>
      <c r="B28" s="81"/>
      <c r="C28" s="73"/>
      <c r="G28" s="93"/>
      <c r="K28" s="81"/>
      <c r="L28" s="73"/>
      <c r="P28" s="93"/>
      <c r="S28" s="82"/>
      <c r="T28" s="75"/>
    </row>
    <row r="29" spans="1:22" ht="15" customHeight="1" x14ac:dyDescent="0.15">
      <c r="A29" s="67"/>
      <c r="B29" s="79" t="s">
        <v>163</v>
      </c>
      <c r="C29" s="102"/>
      <c r="D29" s="102"/>
      <c r="E29" s="102"/>
      <c r="F29" s="102"/>
      <c r="G29" s="102"/>
      <c r="H29" s="102"/>
      <c r="I29" s="102"/>
      <c r="J29" s="87"/>
      <c r="K29" s="88"/>
      <c r="L29" s="372" t="s">
        <v>164</v>
      </c>
      <c r="M29" s="372"/>
      <c r="N29" s="372"/>
      <c r="O29" s="372"/>
      <c r="P29" s="372"/>
      <c r="Q29" s="372"/>
      <c r="R29" s="372"/>
      <c r="S29" s="82"/>
      <c r="T29" s="75"/>
    </row>
    <row r="30" spans="1:22"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2" ht="15.75" customHeight="1" x14ac:dyDescent="0.15">
      <c r="A31" s="67"/>
      <c r="B31" s="104" t="s">
        <v>156</v>
      </c>
      <c r="C31" s="87"/>
      <c r="D31" s="87"/>
      <c r="E31" s="87"/>
      <c r="F31" s="87"/>
      <c r="G31" s="87"/>
      <c r="H31" s="87"/>
      <c r="I31" s="85" t="s">
        <v>165</v>
      </c>
      <c r="J31" s="87"/>
      <c r="K31" s="370" t="s">
        <v>156</v>
      </c>
      <c r="L31" s="371"/>
      <c r="M31" s="85"/>
      <c r="N31" s="85" t="s">
        <v>157</v>
      </c>
      <c r="O31" s="85"/>
      <c r="P31" s="85"/>
      <c r="Q31" s="85"/>
      <c r="R31" s="85" t="s">
        <v>165</v>
      </c>
      <c r="S31" s="86"/>
      <c r="T31" s="75"/>
    </row>
    <row r="32" spans="1:22"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v>1</v>
      </c>
      <c r="O36" s="73"/>
      <c r="P36" s="87"/>
      <c r="R36" s="90">
        <f t="shared" si="2"/>
        <v>10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v>15</v>
      </c>
      <c r="O39" s="73"/>
      <c r="P39" s="87"/>
      <c r="R39" s="90">
        <f t="shared" si="2"/>
        <v>1500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1510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73"/>
      <c r="C47" s="374"/>
      <c r="D47" s="374"/>
      <c r="E47" s="374"/>
      <c r="F47" s="374"/>
      <c r="G47" s="374"/>
      <c r="H47" s="374"/>
      <c r="I47" s="374"/>
      <c r="J47" s="374"/>
      <c r="K47" s="374"/>
      <c r="L47" s="374"/>
      <c r="M47" s="374"/>
      <c r="N47" s="374"/>
      <c r="O47" s="374"/>
      <c r="P47" s="374"/>
      <c r="Q47" s="374"/>
      <c r="R47" s="374"/>
      <c r="S47" s="375"/>
      <c r="T47" s="75"/>
    </row>
    <row r="48" spans="1:20" ht="11.25" customHeight="1" x14ac:dyDescent="0.15">
      <c r="A48" s="67"/>
      <c r="B48" s="364"/>
      <c r="C48" s="365"/>
      <c r="D48" s="365"/>
      <c r="E48" s="365"/>
      <c r="F48" s="365"/>
      <c r="G48" s="365"/>
      <c r="H48" s="365"/>
      <c r="I48" s="365"/>
      <c r="J48" s="365"/>
      <c r="K48" s="365"/>
      <c r="L48" s="365"/>
      <c r="M48" s="365"/>
      <c r="N48" s="365"/>
      <c r="O48" s="365"/>
      <c r="P48" s="365"/>
      <c r="Q48" s="365"/>
      <c r="R48" s="365"/>
      <c r="S48" s="366"/>
      <c r="T48" s="75"/>
    </row>
    <row r="49" spans="1:20" ht="11.25" customHeight="1" x14ac:dyDescent="0.15">
      <c r="A49" s="67"/>
      <c r="B49" s="364"/>
      <c r="C49" s="365"/>
      <c r="D49" s="365"/>
      <c r="E49" s="365"/>
      <c r="F49" s="365"/>
      <c r="G49" s="365"/>
      <c r="H49" s="365"/>
      <c r="I49" s="365"/>
      <c r="J49" s="365"/>
      <c r="K49" s="365"/>
      <c r="L49" s="365"/>
      <c r="M49" s="365"/>
      <c r="N49" s="365"/>
      <c r="O49" s="365"/>
      <c r="P49" s="365"/>
      <c r="Q49" s="365"/>
      <c r="R49" s="365"/>
      <c r="S49" s="366"/>
      <c r="T49" s="75"/>
    </row>
    <row r="50" spans="1:20" ht="11.25" customHeight="1" x14ac:dyDescent="0.15">
      <c r="A50" s="67"/>
      <c r="B50" s="364"/>
      <c r="C50" s="365"/>
      <c r="D50" s="365"/>
      <c r="E50" s="365"/>
      <c r="F50" s="365"/>
      <c r="G50" s="365"/>
      <c r="H50" s="365"/>
      <c r="I50" s="365"/>
      <c r="J50" s="365"/>
      <c r="K50" s="365"/>
      <c r="L50" s="365"/>
      <c r="M50" s="365"/>
      <c r="N50" s="365"/>
      <c r="O50" s="365"/>
      <c r="P50" s="365"/>
      <c r="Q50" s="365"/>
      <c r="R50" s="365"/>
      <c r="S50" s="366"/>
      <c r="T50" s="75"/>
    </row>
    <row r="51" spans="1:20" ht="11.25" customHeight="1" x14ac:dyDescent="0.15">
      <c r="A51" s="67"/>
      <c r="B51" s="364"/>
      <c r="C51" s="365"/>
      <c r="D51" s="365"/>
      <c r="E51" s="365"/>
      <c r="F51" s="365"/>
      <c r="G51" s="365"/>
      <c r="H51" s="365"/>
      <c r="I51" s="365"/>
      <c r="J51" s="365"/>
      <c r="K51" s="365"/>
      <c r="L51" s="365"/>
      <c r="M51" s="365"/>
      <c r="N51" s="365"/>
      <c r="O51" s="365"/>
      <c r="P51" s="365"/>
      <c r="Q51" s="365"/>
      <c r="R51" s="365"/>
      <c r="S51" s="366"/>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7"/>
      <c r="F53" s="367"/>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8">
        <v>153946.5</v>
      </c>
      <c r="O58" s="368"/>
      <c r="Q58" s="66" t="s">
        <v>166</v>
      </c>
      <c r="R58" s="122">
        <f>I41+R41+I54</f>
        <v>1510</v>
      </c>
      <c r="S58" s="73"/>
      <c r="T58" s="75"/>
    </row>
    <row r="59" spans="1:20" ht="11.25" customHeight="1" x14ac:dyDescent="0.15">
      <c r="A59" s="67"/>
      <c r="C59" s="66" t="s">
        <v>180</v>
      </c>
      <c r="L59" s="121" t="s">
        <v>159</v>
      </c>
      <c r="N59" s="369">
        <v>153946.5</v>
      </c>
      <c r="O59" s="369"/>
      <c r="Q59" s="66" t="s">
        <v>166</v>
      </c>
      <c r="R59" s="122">
        <v>1510</v>
      </c>
      <c r="S59" s="73"/>
      <c r="T59" s="75"/>
    </row>
    <row r="60" spans="1:20" ht="11.25" customHeight="1" thickBot="1" x14ac:dyDescent="0.2">
      <c r="A60" s="67"/>
      <c r="C60" s="66" t="s">
        <v>181</v>
      </c>
      <c r="L60" s="121" t="s">
        <v>159</v>
      </c>
      <c r="N60" s="360">
        <f>+N58-N59</f>
        <v>0</v>
      </c>
      <c r="O60" s="360"/>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61"/>
      <c r="C63" s="361"/>
      <c r="D63" s="361"/>
      <c r="E63" s="361"/>
      <c r="F63" s="361"/>
      <c r="G63" s="361"/>
      <c r="H63" s="361"/>
      <c r="I63" s="361"/>
      <c r="J63" s="361"/>
      <c r="K63" s="361"/>
      <c r="L63" s="361"/>
      <c r="M63" s="361"/>
      <c r="N63" s="361"/>
      <c r="O63" s="361"/>
      <c r="P63" s="361"/>
      <c r="Q63" s="361"/>
      <c r="R63" s="361"/>
      <c r="S63" s="361"/>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62" t="s">
        <v>184</v>
      </c>
      <c r="Q68" s="362"/>
      <c r="R68" s="362"/>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N60:O60"/>
    <mergeCell ref="B63:S63"/>
    <mergeCell ref="P68:R68"/>
    <mergeCell ref="H1:M1"/>
    <mergeCell ref="B49:S49"/>
    <mergeCell ref="B50:S50"/>
    <mergeCell ref="B51:S51"/>
    <mergeCell ref="E53:F53"/>
    <mergeCell ref="N58:O58"/>
    <mergeCell ref="N59:O59"/>
    <mergeCell ref="B16:C16"/>
    <mergeCell ref="K16:L16"/>
    <mergeCell ref="L29:R29"/>
    <mergeCell ref="K31:L31"/>
    <mergeCell ref="B47:S47"/>
    <mergeCell ref="B48:S48"/>
    <mergeCell ref="E2:I2"/>
    <mergeCell ref="F4:R4"/>
    <mergeCell ref="F6:R6"/>
    <mergeCell ref="D8:G8"/>
    <mergeCell ref="J8:K8"/>
    <mergeCell ref="L8:M8"/>
    <mergeCell ref="O8:P8"/>
    <mergeCell ref="Q8:R8"/>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91B3C-6277-4C46-BF22-1560B390CAB2}">
  <sheetPr codeName="Hoja19"/>
  <dimension ref="A1:T70"/>
  <sheetViews>
    <sheetView showGridLines="0" showWhiteSpace="0"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64"/>
      <c r="H1" s="363" t="s">
        <v>185</v>
      </c>
      <c r="I1" s="363"/>
      <c r="J1" s="363"/>
      <c r="K1" s="363"/>
      <c r="L1" s="363"/>
      <c r="M1" s="363"/>
      <c r="N1" s="363"/>
      <c r="O1" s="64"/>
      <c r="P1" s="64"/>
      <c r="Q1" s="64"/>
      <c r="R1" s="64"/>
      <c r="S1" s="64"/>
      <c r="T1" s="65"/>
    </row>
    <row r="2" spans="1:20" ht="17.25" customHeight="1" x14ac:dyDescent="0.2">
      <c r="A2" s="67"/>
      <c r="B2" s="68" t="s">
        <v>10</v>
      </c>
      <c r="C2" s="68"/>
      <c r="D2" s="68"/>
      <c r="E2" s="353" t="s">
        <v>287</v>
      </c>
      <c r="F2" s="353"/>
      <c r="G2" s="353"/>
      <c r="H2" s="353"/>
      <c r="I2" s="353"/>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54" t="s">
        <v>503</v>
      </c>
      <c r="G4" s="354"/>
      <c r="H4" s="354"/>
      <c r="I4" s="354"/>
      <c r="J4" s="354"/>
      <c r="K4" s="354"/>
      <c r="L4" s="354"/>
      <c r="M4" s="354"/>
      <c r="N4" s="354"/>
      <c r="O4" s="354"/>
      <c r="P4" s="354"/>
      <c r="Q4" s="354"/>
      <c r="R4" s="354"/>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54" t="s">
        <v>507</v>
      </c>
      <c r="G6" s="354"/>
      <c r="H6" s="354"/>
      <c r="I6" s="354"/>
      <c r="J6" s="354"/>
      <c r="K6" s="354"/>
      <c r="L6" s="354"/>
      <c r="M6" s="354"/>
      <c r="N6" s="354"/>
      <c r="O6" s="354"/>
      <c r="P6" s="354"/>
      <c r="Q6" s="354"/>
      <c r="R6" s="354"/>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54" t="s">
        <v>287</v>
      </c>
      <c r="E8" s="354"/>
      <c r="F8" s="354"/>
      <c r="G8" s="354"/>
      <c r="H8" s="72"/>
      <c r="I8" s="194" t="s">
        <v>257</v>
      </c>
      <c r="J8" s="355">
        <v>0.37291666666666667</v>
      </c>
      <c r="K8" s="355"/>
      <c r="L8" s="356" t="s">
        <v>258</v>
      </c>
      <c r="M8" s="356"/>
      <c r="N8" s="195">
        <v>0.375</v>
      </c>
      <c r="O8" s="357" t="s">
        <v>259</v>
      </c>
      <c r="P8" s="358"/>
      <c r="Q8" s="359">
        <v>45405</v>
      </c>
      <c r="R8" s="354"/>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70" t="s">
        <v>156</v>
      </c>
      <c r="C16" s="371"/>
      <c r="E16" s="85" t="s">
        <v>157</v>
      </c>
      <c r="F16" s="85"/>
      <c r="G16" s="85"/>
      <c r="H16" s="85"/>
      <c r="I16" s="85" t="s">
        <v>158</v>
      </c>
      <c r="J16" s="85"/>
      <c r="K16" s="370" t="s">
        <v>156</v>
      </c>
      <c r="L16" s="371"/>
      <c r="M16" s="85"/>
      <c r="N16" s="85" t="s">
        <v>157</v>
      </c>
      <c r="O16" s="85"/>
      <c r="P16" s="85"/>
      <c r="Q16" s="85"/>
      <c r="R16" s="85" t="s">
        <v>158</v>
      </c>
      <c r="S16" s="86"/>
      <c r="T16" s="75"/>
    </row>
    <row r="17" spans="1:20" x14ac:dyDescent="0.15">
      <c r="A17" s="67"/>
      <c r="B17" s="81"/>
      <c r="C17" s="87"/>
      <c r="D17" s="87"/>
      <c r="E17" s="87"/>
      <c r="F17" s="87"/>
      <c r="G17" s="87"/>
      <c r="H17" s="87"/>
      <c r="I17" s="87"/>
      <c r="J17" s="87"/>
      <c r="K17" s="88"/>
      <c r="L17" s="87"/>
      <c r="S17" s="82"/>
      <c r="T17" s="75"/>
    </row>
    <row r="18" spans="1:20"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0" ht="15" customHeight="1" x14ac:dyDescent="0.15">
      <c r="A19" s="67"/>
      <c r="B19" s="81" t="s">
        <v>159</v>
      </c>
      <c r="C19" s="87">
        <v>0.1</v>
      </c>
      <c r="D19" s="87"/>
      <c r="E19" s="89"/>
      <c r="F19" s="87"/>
      <c r="G19" s="87"/>
      <c r="H19" s="87"/>
      <c r="I19" s="90">
        <f t="shared" ref="I19:I24" si="1">C19*E19</f>
        <v>0</v>
      </c>
      <c r="J19" s="87"/>
      <c r="K19" s="88" t="s">
        <v>159</v>
      </c>
      <c r="L19" s="87">
        <v>10</v>
      </c>
      <c r="N19" s="173"/>
      <c r="O19" s="73"/>
      <c r="P19" s="87"/>
      <c r="Q19" s="87"/>
      <c r="R19" s="90">
        <f t="shared" si="0"/>
        <v>0</v>
      </c>
      <c r="S19" s="92"/>
      <c r="T19" s="75"/>
    </row>
    <row r="20" spans="1:20" ht="15" customHeight="1" x14ac:dyDescent="0.15">
      <c r="A20" s="67"/>
      <c r="B20" s="81" t="s">
        <v>159</v>
      </c>
      <c r="C20" s="87">
        <v>0.2</v>
      </c>
      <c r="D20" s="87"/>
      <c r="E20" s="89">
        <v>3</v>
      </c>
      <c r="F20" s="87"/>
      <c r="G20" s="87"/>
      <c r="H20" s="87"/>
      <c r="I20" s="90">
        <f t="shared" si="1"/>
        <v>0.60000000000000009</v>
      </c>
      <c r="J20" s="87"/>
      <c r="K20" s="88" t="s">
        <v>159</v>
      </c>
      <c r="L20" s="87">
        <v>20</v>
      </c>
      <c r="N20" s="173">
        <v>1</v>
      </c>
      <c r="O20" s="73"/>
      <c r="P20" s="87"/>
      <c r="Q20" s="87"/>
      <c r="R20" s="90">
        <f t="shared" si="0"/>
        <v>20</v>
      </c>
      <c r="S20" s="92"/>
      <c r="T20" s="75"/>
    </row>
    <row r="21" spans="1:20" ht="15" customHeight="1" x14ac:dyDescent="0.15">
      <c r="A21" s="67"/>
      <c r="B21" s="81" t="s">
        <v>159</v>
      </c>
      <c r="C21" s="87">
        <v>0.5</v>
      </c>
      <c r="D21" s="87"/>
      <c r="E21" s="89"/>
      <c r="F21" s="87"/>
      <c r="G21" s="87"/>
      <c r="H21" s="87"/>
      <c r="I21" s="90">
        <f t="shared" si="1"/>
        <v>0</v>
      </c>
      <c r="J21" s="87"/>
      <c r="K21" s="88" t="s">
        <v>159</v>
      </c>
      <c r="L21" s="87">
        <v>50</v>
      </c>
      <c r="N21" s="173"/>
      <c r="O21" s="73"/>
      <c r="P21" s="87"/>
      <c r="Q21" s="87"/>
      <c r="R21" s="90">
        <f t="shared" si="0"/>
        <v>0</v>
      </c>
      <c r="S21" s="92"/>
      <c r="T21" s="75"/>
    </row>
    <row r="22" spans="1:20" ht="15" customHeight="1" x14ac:dyDescent="0.15">
      <c r="A22" s="67"/>
      <c r="B22" s="81" t="s">
        <v>159</v>
      </c>
      <c r="C22" s="87">
        <v>1</v>
      </c>
      <c r="D22" s="87"/>
      <c r="E22" s="89">
        <v>2</v>
      </c>
      <c r="F22" s="87"/>
      <c r="G22" s="87"/>
      <c r="H22" s="87"/>
      <c r="I22" s="90">
        <f t="shared" si="1"/>
        <v>2</v>
      </c>
      <c r="J22" s="87"/>
      <c r="K22" s="88" t="s">
        <v>159</v>
      </c>
      <c r="L22" s="87">
        <v>100</v>
      </c>
      <c r="N22" s="173">
        <v>6</v>
      </c>
      <c r="O22" s="73"/>
      <c r="P22" s="87"/>
      <c r="Q22" s="87"/>
      <c r="R22" s="90">
        <f t="shared" si="0"/>
        <v>600</v>
      </c>
      <c r="S22" s="92"/>
      <c r="T22" s="75"/>
    </row>
    <row r="23" spans="1:20" ht="15" customHeight="1" x14ac:dyDescent="0.15">
      <c r="A23" s="67"/>
      <c r="B23" s="81" t="s">
        <v>159</v>
      </c>
      <c r="C23" s="87">
        <v>2</v>
      </c>
      <c r="D23" s="87"/>
      <c r="E23" s="89">
        <v>1</v>
      </c>
      <c r="F23" s="87"/>
      <c r="G23" s="87"/>
      <c r="H23" s="87"/>
      <c r="I23" s="90">
        <f t="shared" si="1"/>
        <v>2</v>
      </c>
      <c r="J23" s="87"/>
      <c r="K23" s="88" t="s">
        <v>159</v>
      </c>
      <c r="L23" s="87">
        <v>200</v>
      </c>
      <c r="N23" s="173"/>
      <c r="O23" s="73"/>
      <c r="P23" s="87"/>
      <c r="Q23" s="87"/>
      <c r="R23" s="90">
        <f t="shared" si="0"/>
        <v>0</v>
      </c>
      <c r="S23" s="92"/>
      <c r="T23" s="75"/>
    </row>
    <row r="24" spans="1:20" ht="15" customHeight="1" x14ac:dyDescent="0.15">
      <c r="A24" s="67"/>
      <c r="B24" s="81" t="s">
        <v>159</v>
      </c>
      <c r="C24" s="87">
        <v>5</v>
      </c>
      <c r="D24" s="87"/>
      <c r="E24" s="89"/>
      <c r="F24" s="87"/>
      <c r="G24" s="87"/>
      <c r="H24" s="87"/>
      <c r="I24" s="90">
        <f t="shared" si="1"/>
        <v>0</v>
      </c>
      <c r="J24" s="87"/>
      <c r="K24" s="88" t="s">
        <v>159</v>
      </c>
      <c r="L24" s="87" t="s">
        <v>160</v>
      </c>
      <c r="N24" s="173"/>
      <c r="O24" s="73"/>
      <c r="P24" s="87"/>
      <c r="Q24" s="87"/>
      <c r="R24" s="90"/>
      <c r="S24" s="92"/>
      <c r="T24" s="75"/>
    </row>
    <row r="25" spans="1:20" ht="15.75" customHeight="1" thickBot="1" x14ac:dyDescent="0.2">
      <c r="A25" s="67"/>
      <c r="B25" s="81"/>
      <c r="C25" s="87"/>
      <c r="D25" s="87"/>
      <c r="E25" s="73"/>
      <c r="F25" s="87"/>
      <c r="G25" s="87"/>
      <c r="H25" s="87"/>
      <c r="I25" s="73"/>
      <c r="J25" s="87"/>
      <c r="K25" s="88"/>
      <c r="L25" s="87"/>
      <c r="N25" s="73"/>
      <c r="O25" s="73"/>
      <c r="P25" s="87"/>
      <c r="Q25" s="87"/>
      <c r="R25" s="73"/>
      <c r="S25" s="92"/>
      <c r="T25" s="75"/>
    </row>
    <row r="26" spans="1:20" ht="15" customHeight="1" thickBot="1" x14ac:dyDescent="0.2">
      <c r="A26" s="67"/>
      <c r="B26" s="81"/>
      <c r="C26" s="73"/>
      <c r="G26" s="93" t="s">
        <v>161</v>
      </c>
      <c r="I26" s="94">
        <f>SUM(I18:I24)</f>
        <v>4.5999999999999996</v>
      </c>
      <c r="K26" s="81"/>
      <c r="L26" s="73"/>
      <c r="P26" s="93" t="s">
        <v>162</v>
      </c>
      <c r="R26" s="94">
        <f>SUM(R18:R24)</f>
        <v>620</v>
      </c>
      <c r="S26" s="82"/>
      <c r="T26" s="75"/>
    </row>
    <row r="27" spans="1:20"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0" ht="6.75" customHeight="1" thickTop="1" x14ac:dyDescent="0.15">
      <c r="A28" s="67"/>
      <c r="B28" s="81"/>
      <c r="C28" s="73"/>
      <c r="G28" s="93"/>
      <c r="K28" s="81"/>
      <c r="L28" s="73"/>
      <c r="P28" s="93"/>
      <c r="S28" s="82"/>
      <c r="T28" s="75"/>
    </row>
    <row r="29" spans="1:20" ht="15" customHeight="1" x14ac:dyDescent="0.15">
      <c r="A29" s="67"/>
      <c r="B29" s="79" t="s">
        <v>163</v>
      </c>
      <c r="C29" s="102"/>
      <c r="D29" s="102"/>
      <c r="E29" s="102"/>
      <c r="F29" s="102"/>
      <c r="G29" s="102"/>
      <c r="H29" s="102"/>
      <c r="I29" s="102"/>
      <c r="J29" s="87"/>
      <c r="K29" s="88"/>
      <c r="L29" s="372" t="s">
        <v>164</v>
      </c>
      <c r="M29" s="372"/>
      <c r="N29" s="372"/>
      <c r="O29" s="372"/>
      <c r="P29" s="372"/>
      <c r="Q29" s="372"/>
      <c r="R29" s="372"/>
      <c r="S29" s="82"/>
      <c r="T29" s="75"/>
    </row>
    <row r="30" spans="1:20"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0" ht="15.75" customHeight="1" x14ac:dyDescent="0.15">
      <c r="A31" s="67"/>
      <c r="B31" s="104" t="s">
        <v>156</v>
      </c>
      <c r="C31" s="87"/>
      <c r="D31" s="87"/>
      <c r="E31" s="87"/>
      <c r="F31" s="87"/>
      <c r="G31" s="87"/>
      <c r="H31" s="87"/>
      <c r="I31" s="85" t="s">
        <v>165</v>
      </c>
      <c r="J31" s="87"/>
      <c r="K31" s="370" t="s">
        <v>156</v>
      </c>
      <c r="L31" s="371"/>
      <c r="M31" s="85"/>
      <c r="N31" s="85" t="s">
        <v>157</v>
      </c>
      <c r="O31" s="85"/>
      <c r="P31" s="85"/>
      <c r="Q31" s="85"/>
      <c r="R31" s="85" t="s">
        <v>165</v>
      </c>
      <c r="S31" s="86"/>
      <c r="T31" s="75"/>
    </row>
    <row r="32" spans="1:20"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c r="O36" s="73"/>
      <c r="P36" s="87"/>
      <c r="R36" s="90">
        <f t="shared" si="2"/>
        <v>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c r="O39" s="73"/>
      <c r="P39" s="87"/>
      <c r="R39" s="90">
        <f t="shared" si="2"/>
        <v>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73"/>
      <c r="C47" s="374"/>
      <c r="D47" s="374"/>
      <c r="E47" s="374"/>
      <c r="F47" s="374"/>
      <c r="G47" s="374"/>
      <c r="H47" s="374"/>
      <c r="I47" s="374"/>
      <c r="J47" s="374"/>
      <c r="K47" s="374"/>
      <c r="L47" s="374"/>
      <c r="M47" s="374"/>
      <c r="N47" s="374"/>
      <c r="O47" s="374"/>
      <c r="P47" s="374"/>
      <c r="Q47" s="374"/>
      <c r="R47" s="374"/>
      <c r="S47" s="375"/>
      <c r="T47" s="75"/>
    </row>
    <row r="48" spans="1:20" ht="11.25" customHeight="1" x14ac:dyDescent="0.15">
      <c r="A48" s="67"/>
      <c r="B48" s="364"/>
      <c r="C48" s="365"/>
      <c r="D48" s="365"/>
      <c r="E48" s="365"/>
      <c r="F48" s="365"/>
      <c r="G48" s="365"/>
      <c r="H48" s="365"/>
      <c r="I48" s="365"/>
      <c r="J48" s="365"/>
      <c r="K48" s="365"/>
      <c r="L48" s="365"/>
      <c r="M48" s="365"/>
      <c r="N48" s="365"/>
      <c r="O48" s="365"/>
      <c r="P48" s="365"/>
      <c r="Q48" s="365"/>
      <c r="R48" s="365"/>
      <c r="S48" s="366"/>
      <c r="T48" s="75"/>
    </row>
    <row r="49" spans="1:20" ht="11.25" customHeight="1" x14ac:dyDescent="0.15">
      <c r="A49" s="67"/>
      <c r="B49" s="364"/>
      <c r="C49" s="365"/>
      <c r="D49" s="365"/>
      <c r="E49" s="365"/>
      <c r="F49" s="365"/>
      <c r="G49" s="365"/>
      <c r="H49" s="365"/>
      <c r="I49" s="365"/>
      <c r="J49" s="365"/>
      <c r="K49" s="365"/>
      <c r="L49" s="365"/>
      <c r="M49" s="365"/>
      <c r="N49" s="365"/>
      <c r="O49" s="365"/>
      <c r="P49" s="365"/>
      <c r="Q49" s="365"/>
      <c r="R49" s="365"/>
      <c r="S49" s="366"/>
      <c r="T49" s="75"/>
    </row>
    <row r="50" spans="1:20" ht="11.25" customHeight="1" x14ac:dyDescent="0.15">
      <c r="A50" s="67"/>
      <c r="B50" s="364"/>
      <c r="C50" s="365"/>
      <c r="D50" s="365"/>
      <c r="E50" s="365"/>
      <c r="F50" s="365"/>
      <c r="G50" s="365"/>
      <c r="H50" s="365"/>
      <c r="I50" s="365"/>
      <c r="J50" s="365"/>
      <c r="K50" s="365"/>
      <c r="L50" s="365"/>
      <c r="M50" s="365"/>
      <c r="N50" s="365"/>
      <c r="O50" s="365"/>
      <c r="P50" s="365"/>
      <c r="Q50" s="365"/>
      <c r="R50" s="365"/>
      <c r="S50" s="366"/>
      <c r="T50" s="75"/>
    </row>
    <row r="51" spans="1:20" ht="11.25" customHeight="1" x14ac:dyDescent="0.15">
      <c r="A51" s="67"/>
      <c r="B51" s="364"/>
      <c r="C51" s="365"/>
      <c r="D51" s="365"/>
      <c r="E51" s="365"/>
      <c r="F51" s="365"/>
      <c r="G51" s="365"/>
      <c r="H51" s="365"/>
      <c r="I51" s="365"/>
      <c r="J51" s="365"/>
      <c r="K51" s="365"/>
      <c r="L51" s="365"/>
      <c r="M51" s="365"/>
      <c r="N51" s="365"/>
      <c r="O51" s="365"/>
      <c r="P51" s="365"/>
      <c r="Q51" s="365"/>
      <c r="R51" s="365"/>
      <c r="S51" s="366"/>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7"/>
      <c r="F53" s="367"/>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8">
        <f>I26+R26+R54+I54</f>
        <v>624.6</v>
      </c>
      <c r="O58" s="368"/>
      <c r="Q58" s="66" t="s">
        <v>166</v>
      </c>
      <c r="R58" s="122">
        <f>I41+R41+I54</f>
        <v>0</v>
      </c>
      <c r="S58" s="73"/>
      <c r="T58" s="75"/>
    </row>
    <row r="59" spans="1:20" ht="11.25" customHeight="1" x14ac:dyDescent="0.15">
      <c r="A59" s="67"/>
      <c r="C59" s="66" t="s">
        <v>180</v>
      </c>
      <c r="L59" s="121" t="s">
        <v>159</v>
      </c>
      <c r="N59" s="369">
        <v>624.6</v>
      </c>
      <c r="O59" s="369"/>
      <c r="Q59" s="66" t="s">
        <v>166</v>
      </c>
      <c r="R59" s="122"/>
      <c r="S59" s="73"/>
      <c r="T59" s="75"/>
    </row>
    <row r="60" spans="1:20" ht="11.25" customHeight="1" thickBot="1" x14ac:dyDescent="0.2">
      <c r="A60" s="67"/>
      <c r="C60" s="66" t="s">
        <v>181</v>
      </c>
      <c r="L60" s="121" t="s">
        <v>159</v>
      </c>
      <c r="N60" s="360">
        <f>+N58-N59</f>
        <v>0</v>
      </c>
      <c r="O60" s="360"/>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61"/>
      <c r="C63" s="361"/>
      <c r="D63" s="361"/>
      <c r="E63" s="361"/>
      <c r="F63" s="361"/>
      <c r="G63" s="361"/>
      <c r="H63" s="361"/>
      <c r="I63" s="361"/>
      <c r="J63" s="361"/>
      <c r="K63" s="361"/>
      <c r="L63" s="361"/>
      <c r="M63" s="361"/>
      <c r="N63" s="361"/>
      <c r="O63" s="361"/>
      <c r="P63" s="361"/>
      <c r="Q63" s="361"/>
      <c r="R63" s="361"/>
      <c r="S63" s="361"/>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62" t="s">
        <v>184</v>
      </c>
      <c r="Q68" s="362"/>
      <c r="R68" s="362"/>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N60:O60"/>
    <mergeCell ref="B63:S63"/>
    <mergeCell ref="P68:R68"/>
    <mergeCell ref="H1:N1"/>
    <mergeCell ref="B49:S49"/>
    <mergeCell ref="B50:S50"/>
    <mergeCell ref="B51:S51"/>
    <mergeCell ref="E53:F53"/>
    <mergeCell ref="N58:O58"/>
    <mergeCell ref="N59:O59"/>
    <mergeCell ref="B16:C16"/>
    <mergeCell ref="K16:L16"/>
    <mergeCell ref="L29:R29"/>
    <mergeCell ref="K31:L31"/>
    <mergeCell ref="B47:S47"/>
    <mergeCell ref="B48:S48"/>
    <mergeCell ref="E2:I2"/>
    <mergeCell ref="F4:R4"/>
    <mergeCell ref="F6:R6"/>
    <mergeCell ref="D8:G8"/>
    <mergeCell ref="J8:K8"/>
    <mergeCell ref="L8:M8"/>
    <mergeCell ref="O8:P8"/>
    <mergeCell ref="Q8:R8"/>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dimension ref="A1:T70"/>
  <sheetViews>
    <sheetView showGridLines="0" showWhiteSpace="0" topLeftCell="A4"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363" t="s">
        <v>260</v>
      </c>
      <c r="H1" s="363"/>
      <c r="I1" s="363"/>
      <c r="J1" s="363"/>
      <c r="K1" s="363"/>
      <c r="L1" s="363"/>
      <c r="M1" s="363"/>
      <c r="N1" s="363"/>
      <c r="O1" s="363"/>
      <c r="P1" s="64"/>
      <c r="Q1" s="64"/>
      <c r="R1" s="64"/>
      <c r="S1" s="64"/>
      <c r="T1" s="65"/>
    </row>
    <row r="2" spans="1:20" ht="17.25" customHeight="1" x14ac:dyDescent="0.2">
      <c r="A2" s="67"/>
      <c r="B2" s="68" t="s">
        <v>10</v>
      </c>
      <c r="C2" s="68"/>
      <c r="D2" s="68"/>
      <c r="E2" s="353" t="s">
        <v>287</v>
      </c>
      <c r="F2" s="353"/>
      <c r="G2" s="353"/>
      <c r="H2" s="353"/>
      <c r="I2" s="353"/>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54" t="s">
        <v>503</v>
      </c>
      <c r="G4" s="354"/>
      <c r="H4" s="354"/>
      <c r="I4" s="354"/>
      <c r="J4" s="354"/>
      <c r="K4" s="354"/>
      <c r="L4" s="354"/>
      <c r="M4" s="354"/>
      <c r="N4" s="354"/>
      <c r="O4" s="354"/>
      <c r="P4" s="354"/>
      <c r="Q4" s="354"/>
      <c r="R4" s="354"/>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54" t="s">
        <v>507</v>
      </c>
      <c r="G6" s="354"/>
      <c r="H6" s="354"/>
      <c r="I6" s="354"/>
      <c r="J6" s="354"/>
      <c r="K6" s="354"/>
      <c r="L6" s="354"/>
      <c r="M6" s="354"/>
      <c r="N6" s="354"/>
      <c r="O6" s="354"/>
      <c r="P6" s="354"/>
      <c r="Q6" s="354"/>
      <c r="R6" s="354"/>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54" t="s">
        <v>287</v>
      </c>
      <c r="E8" s="354"/>
      <c r="F8" s="354"/>
      <c r="G8" s="354"/>
      <c r="H8" s="72"/>
      <c r="I8" s="194" t="s">
        <v>257</v>
      </c>
      <c r="J8" s="355">
        <v>0.3298611111111111</v>
      </c>
      <c r="K8" s="355"/>
      <c r="L8" s="356" t="s">
        <v>258</v>
      </c>
      <c r="M8" s="356"/>
      <c r="N8" s="195"/>
      <c r="O8" s="357" t="s">
        <v>259</v>
      </c>
      <c r="P8" s="358"/>
      <c r="Q8" s="359">
        <v>45405</v>
      </c>
      <c r="R8" s="354"/>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70" t="s">
        <v>156</v>
      </c>
      <c r="C16" s="371"/>
      <c r="E16" s="85" t="s">
        <v>157</v>
      </c>
      <c r="F16" s="85"/>
      <c r="G16" s="85"/>
      <c r="H16" s="85"/>
      <c r="I16" s="85" t="s">
        <v>158</v>
      </c>
      <c r="J16" s="85"/>
      <c r="K16" s="370" t="s">
        <v>156</v>
      </c>
      <c r="L16" s="371"/>
      <c r="M16" s="85"/>
      <c r="N16" s="85" t="s">
        <v>157</v>
      </c>
      <c r="O16" s="85"/>
      <c r="P16" s="85"/>
      <c r="Q16" s="85"/>
      <c r="R16" s="85" t="s">
        <v>158</v>
      </c>
      <c r="S16" s="86"/>
      <c r="T16" s="75"/>
    </row>
    <row r="17" spans="1:20" x14ac:dyDescent="0.15">
      <c r="A17" s="67"/>
      <c r="B17" s="81"/>
      <c r="C17" s="87"/>
      <c r="D17" s="87"/>
      <c r="E17" s="87"/>
      <c r="F17" s="87"/>
      <c r="G17" s="87"/>
      <c r="H17" s="87"/>
      <c r="I17" s="87"/>
      <c r="J17" s="87"/>
      <c r="K17" s="88"/>
      <c r="L17" s="87"/>
      <c r="S17" s="82"/>
      <c r="T17" s="75"/>
    </row>
    <row r="18" spans="1:20"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0" ht="15" customHeight="1" x14ac:dyDescent="0.15">
      <c r="A19" s="67"/>
      <c r="B19" s="81" t="s">
        <v>159</v>
      </c>
      <c r="C19" s="87">
        <v>0.1</v>
      </c>
      <c r="D19" s="87"/>
      <c r="E19" s="89"/>
      <c r="F19" s="87"/>
      <c r="G19" s="87"/>
      <c r="H19" s="87"/>
      <c r="I19" s="90">
        <f t="shared" ref="I19:I24" si="1">C19*E19</f>
        <v>0</v>
      </c>
      <c r="J19" s="87"/>
      <c r="K19" s="88" t="s">
        <v>159</v>
      </c>
      <c r="L19" s="87">
        <v>10</v>
      </c>
      <c r="N19" s="173"/>
      <c r="O19" s="73"/>
      <c r="P19" s="87"/>
      <c r="Q19" s="87"/>
      <c r="R19" s="90">
        <f t="shared" si="0"/>
        <v>0</v>
      </c>
      <c r="S19" s="92"/>
      <c r="T19" s="75"/>
    </row>
    <row r="20" spans="1:20" ht="15" customHeight="1" x14ac:dyDescent="0.15">
      <c r="A20" s="67"/>
      <c r="B20" s="81" t="s">
        <v>159</v>
      </c>
      <c r="C20" s="87">
        <v>0.2</v>
      </c>
      <c r="D20" s="87"/>
      <c r="E20" s="89"/>
      <c r="F20" s="87"/>
      <c r="G20" s="87"/>
      <c r="H20" s="87"/>
      <c r="I20" s="90">
        <f t="shared" si="1"/>
        <v>0</v>
      </c>
      <c r="J20" s="87"/>
      <c r="K20" s="88" t="s">
        <v>159</v>
      </c>
      <c r="L20" s="87">
        <v>20</v>
      </c>
      <c r="N20" s="173"/>
      <c r="O20" s="73"/>
      <c r="P20" s="87"/>
      <c r="Q20" s="87"/>
      <c r="R20" s="90">
        <f t="shared" si="0"/>
        <v>0</v>
      </c>
      <c r="S20" s="92"/>
      <c r="T20" s="75"/>
    </row>
    <row r="21" spans="1:20" ht="15" customHeight="1" x14ac:dyDescent="0.15">
      <c r="A21" s="67"/>
      <c r="B21" s="81" t="s">
        <v>159</v>
      </c>
      <c r="C21" s="87">
        <v>0.5</v>
      </c>
      <c r="D21" s="87"/>
      <c r="E21" s="89"/>
      <c r="F21" s="87"/>
      <c r="G21" s="87"/>
      <c r="H21" s="87"/>
      <c r="I21" s="90">
        <f t="shared" si="1"/>
        <v>0</v>
      </c>
      <c r="J21" s="87"/>
      <c r="K21" s="88" t="s">
        <v>159</v>
      </c>
      <c r="L21" s="87">
        <v>50</v>
      </c>
      <c r="N21" s="173"/>
      <c r="O21" s="73"/>
      <c r="P21" s="87"/>
      <c r="Q21" s="87"/>
      <c r="R21" s="90">
        <f t="shared" si="0"/>
        <v>0</v>
      </c>
      <c r="S21" s="92"/>
      <c r="T21" s="75"/>
    </row>
    <row r="22" spans="1:20" ht="15" customHeight="1" x14ac:dyDescent="0.15">
      <c r="A22" s="67"/>
      <c r="B22" s="81" t="s">
        <v>159</v>
      </c>
      <c r="C22" s="87">
        <v>1</v>
      </c>
      <c r="D22" s="87"/>
      <c r="E22" s="89"/>
      <c r="F22" s="87"/>
      <c r="G22" s="87"/>
      <c r="H22" s="87"/>
      <c r="I22" s="90">
        <f t="shared" si="1"/>
        <v>0</v>
      </c>
      <c r="J22" s="87"/>
      <c r="K22" s="88" t="s">
        <v>159</v>
      </c>
      <c r="L22" s="87">
        <v>100</v>
      </c>
      <c r="N22" s="173"/>
      <c r="O22" s="73"/>
      <c r="P22" s="87"/>
      <c r="Q22" s="87"/>
      <c r="R22" s="90">
        <f t="shared" si="0"/>
        <v>0</v>
      </c>
      <c r="S22" s="92"/>
      <c r="T22" s="75"/>
    </row>
    <row r="23" spans="1:20" ht="15" customHeight="1" x14ac:dyDescent="0.15">
      <c r="A23" s="67"/>
      <c r="B23" s="81" t="s">
        <v>159</v>
      </c>
      <c r="C23" s="87">
        <v>2</v>
      </c>
      <c r="D23" s="87"/>
      <c r="E23" s="89"/>
      <c r="F23" s="87"/>
      <c r="G23" s="87"/>
      <c r="H23" s="87"/>
      <c r="I23" s="90">
        <f t="shared" si="1"/>
        <v>0</v>
      </c>
      <c r="J23" s="87"/>
      <c r="K23" s="88" t="s">
        <v>159</v>
      </c>
      <c r="L23" s="87">
        <v>200</v>
      </c>
      <c r="N23" s="173"/>
      <c r="O23" s="73"/>
      <c r="P23" s="87"/>
      <c r="Q23" s="87"/>
      <c r="R23" s="90">
        <f t="shared" si="0"/>
        <v>0</v>
      </c>
      <c r="S23" s="92"/>
      <c r="T23" s="75"/>
    </row>
    <row r="24" spans="1:20" ht="15" customHeight="1" x14ac:dyDescent="0.15">
      <c r="A24" s="67"/>
      <c r="B24" s="81" t="s">
        <v>159</v>
      </c>
      <c r="C24" s="87">
        <v>5</v>
      </c>
      <c r="D24" s="87"/>
      <c r="E24" s="89"/>
      <c r="F24" s="87"/>
      <c r="G24" s="87"/>
      <c r="H24" s="87"/>
      <c r="I24" s="90">
        <f t="shared" si="1"/>
        <v>0</v>
      </c>
      <c r="J24" s="87"/>
      <c r="K24" s="88" t="s">
        <v>159</v>
      </c>
      <c r="L24" s="87" t="s">
        <v>160</v>
      </c>
      <c r="N24" s="173"/>
      <c r="O24" s="73"/>
      <c r="P24" s="87"/>
      <c r="Q24" s="87"/>
      <c r="R24" s="90"/>
      <c r="S24" s="92"/>
      <c r="T24" s="75"/>
    </row>
    <row r="25" spans="1:20" ht="15.75" customHeight="1" thickBot="1" x14ac:dyDescent="0.2">
      <c r="A25" s="67"/>
      <c r="B25" s="81"/>
      <c r="C25" s="87"/>
      <c r="D25" s="87"/>
      <c r="E25" s="73"/>
      <c r="F25" s="87"/>
      <c r="G25" s="87"/>
      <c r="H25" s="87"/>
      <c r="I25" s="73"/>
      <c r="J25" s="87"/>
      <c r="K25" s="88"/>
      <c r="L25" s="87"/>
      <c r="N25" s="73"/>
      <c r="O25" s="73"/>
      <c r="P25" s="87"/>
      <c r="Q25" s="87"/>
      <c r="R25" s="73"/>
      <c r="S25" s="92"/>
      <c r="T25" s="75"/>
    </row>
    <row r="26" spans="1:20" ht="15" customHeight="1" thickBot="1" x14ac:dyDescent="0.2">
      <c r="A26" s="67"/>
      <c r="B26" s="81"/>
      <c r="C26" s="73"/>
      <c r="G26" s="93" t="s">
        <v>161</v>
      </c>
      <c r="I26" s="94">
        <f>SUM(I18:I24)</f>
        <v>0</v>
      </c>
      <c r="K26" s="81"/>
      <c r="L26" s="73"/>
      <c r="P26" s="93" t="s">
        <v>162</v>
      </c>
      <c r="R26" s="94">
        <f>SUM(R18:R24)</f>
        <v>0</v>
      </c>
      <c r="S26" s="82"/>
      <c r="T26" s="75"/>
    </row>
    <row r="27" spans="1:20"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0" ht="6.75" customHeight="1" thickTop="1" x14ac:dyDescent="0.15">
      <c r="A28" s="67"/>
      <c r="B28" s="81"/>
      <c r="C28" s="73"/>
      <c r="G28" s="93"/>
      <c r="K28" s="81"/>
      <c r="L28" s="73"/>
      <c r="P28" s="93"/>
      <c r="S28" s="82"/>
      <c r="T28" s="75"/>
    </row>
    <row r="29" spans="1:20" ht="15" customHeight="1" x14ac:dyDescent="0.15">
      <c r="A29" s="67"/>
      <c r="B29" s="79" t="s">
        <v>163</v>
      </c>
      <c r="C29" s="102"/>
      <c r="D29" s="102"/>
      <c r="E29" s="102"/>
      <c r="F29" s="102"/>
      <c r="G29" s="102"/>
      <c r="H29" s="102"/>
      <c r="I29" s="102"/>
      <c r="J29" s="87"/>
      <c r="K29" s="88"/>
      <c r="L29" s="372" t="s">
        <v>164</v>
      </c>
      <c r="M29" s="372"/>
      <c r="N29" s="372"/>
      <c r="O29" s="372"/>
      <c r="P29" s="372"/>
      <c r="Q29" s="372"/>
      <c r="R29" s="372"/>
      <c r="S29" s="82"/>
      <c r="T29" s="75"/>
    </row>
    <row r="30" spans="1:20"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0" ht="15.75" customHeight="1" x14ac:dyDescent="0.15">
      <c r="A31" s="67"/>
      <c r="B31" s="104" t="s">
        <v>156</v>
      </c>
      <c r="C31" s="87"/>
      <c r="D31" s="87"/>
      <c r="E31" s="87"/>
      <c r="F31" s="87"/>
      <c r="G31" s="87"/>
      <c r="H31" s="87"/>
      <c r="I31" s="85" t="s">
        <v>165</v>
      </c>
      <c r="J31" s="87"/>
      <c r="K31" s="370" t="s">
        <v>156</v>
      </c>
      <c r="L31" s="371"/>
      <c r="M31" s="85"/>
      <c r="N31" s="85" t="s">
        <v>157</v>
      </c>
      <c r="O31" s="85"/>
      <c r="P31" s="85"/>
      <c r="Q31" s="85"/>
      <c r="R31" s="85" t="s">
        <v>165</v>
      </c>
      <c r="S31" s="86"/>
      <c r="T31" s="75"/>
    </row>
    <row r="32" spans="1:20"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c r="O36" s="73"/>
      <c r="P36" s="87"/>
      <c r="R36" s="90">
        <f t="shared" si="2"/>
        <v>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c r="O39" s="73"/>
      <c r="P39" s="87"/>
      <c r="R39" s="90">
        <f t="shared" si="2"/>
        <v>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73"/>
      <c r="C47" s="374"/>
      <c r="D47" s="374"/>
      <c r="E47" s="374"/>
      <c r="F47" s="374"/>
      <c r="G47" s="374"/>
      <c r="H47" s="374"/>
      <c r="I47" s="374"/>
      <c r="J47" s="374"/>
      <c r="K47" s="374"/>
      <c r="L47" s="374"/>
      <c r="M47" s="374"/>
      <c r="N47" s="374"/>
      <c r="O47" s="374"/>
      <c r="P47" s="374"/>
      <c r="Q47" s="374"/>
      <c r="R47" s="374"/>
      <c r="S47" s="375"/>
      <c r="T47" s="75"/>
    </row>
    <row r="48" spans="1:20" ht="11.25" customHeight="1" x14ac:dyDescent="0.15">
      <c r="A48" s="67"/>
      <c r="B48" s="364"/>
      <c r="C48" s="365"/>
      <c r="D48" s="365"/>
      <c r="E48" s="365"/>
      <c r="F48" s="365"/>
      <c r="G48" s="365"/>
      <c r="H48" s="365"/>
      <c r="I48" s="365"/>
      <c r="J48" s="365"/>
      <c r="K48" s="365"/>
      <c r="L48" s="365"/>
      <c r="M48" s="365"/>
      <c r="N48" s="365"/>
      <c r="O48" s="365"/>
      <c r="P48" s="365"/>
      <c r="Q48" s="365"/>
      <c r="R48" s="365"/>
      <c r="S48" s="366"/>
      <c r="T48" s="75"/>
    </row>
    <row r="49" spans="1:20" ht="11.25" customHeight="1" x14ac:dyDescent="0.15">
      <c r="A49" s="67"/>
      <c r="B49" s="364"/>
      <c r="C49" s="365"/>
      <c r="D49" s="365"/>
      <c r="E49" s="365"/>
      <c r="F49" s="365"/>
      <c r="G49" s="365"/>
      <c r="H49" s="365"/>
      <c r="I49" s="365"/>
      <c r="J49" s="365"/>
      <c r="K49" s="365"/>
      <c r="L49" s="365"/>
      <c r="M49" s="365"/>
      <c r="N49" s="365"/>
      <c r="O49" s="365"/>
      <c r="P49" s="365"/>
      <c r="Q49" s="365"/>
      <c r="R49" s="365"/>
      <c r="S49" s="366"/>
      <c r="T49" s="75"/>
    </row>
    <row r="50" spans="1:20" ht="11.25" customHeight="1" x14ac:dyDescent="0.15">
      <c r="A50" s="67"/>
      <c r="B50" s="364"/>
      <c r="C50" s="365"/>
      <c r="D50" s="365"/>
      <c r="E50" s="365"/>
      <c r="F50" s="365"/>
      <c r="G50" s="365"/>
      <c r="H50" s="365"/>
      <c r="I50" s="365"/>
      <c r="J50" s="365"/>
      <c r="K50" s="365"/>
      <c r="L50" s="365"/>
      <c r="M50" s="365"/>
      <c r="N50" s="365"/>
      <c r="O50" s="365"/>
      <c r="P50" s="365"/>
      <c r="Q50" s="365"/>
      <c r="R50" s="365"/>
      <c r="S50" s="366"/>
      <c r="T50" s="75"/>
    </row>
    <row r="51" spans="1:20" ht="11.25" customHeight="1" x14ac:dyDescent="0.15">
      <c r="A51" s="67"/>
      <c r="B51" s="364"/>
      <c r="C51" s="365"/>
      <c r="D51" s="365"/>
      <c r="E51" s="365"/>
      <c r="F51" s="365"/>
      <c r="G51" s="365"/>
      <c r="H51" s="365"/>
      <c r="I51" s="365"/>
      <c r="J51" s="365"/>
      <c r="K51" s="365"/>
      <c r="L51" s="365"/>
      <c r="M51" s="365"/>
      <c r="N51" s="365"/>
      <c r="O51" s="365"/>
      <c r="P51" s="365"/>
      <c r="Q51" s="365"/>
      <c r="R51" s="365"/>
      <c r="S51" s="366"/>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7"/>
      <c r="F53" s="367"/>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8">
        <f>I26+R26+R54+I54</f>
        <v>0</v>
      </c>
      <c r="O58" s="368"/>
      <c r="Q58" s="66" t="s">
        <v>166</v>
      </c>
      <c r="R58" s="122">
        <f>I41+R41+I54</f>
        <v>0</v>
      </c>
      <c r="S58" s="73"/>
      <c r="T58" s="75"/>
    </row>
    <row r="59" spans="1:20" ht="11.25" customHeight="1" x14ac:dyDescent="0.15">
      <c r="A59" s="67"/>
      <c r="C59" s="66" t="s">
        <v>180</v>
      </c>
      <c r="L59" s="121" t="s">
        <v>159</v>
      </c>
      <c r="N59" s="369"/>
      <c r="O59" s="369"/>
      <c r="Q59" s="66" t="s">
        <v>166</v>
      </c>
      <c r="R59" s="122"/>
      <c r="S59" s="73"/>
      <c r="T59" s="75"/>
    </row>
    <row r="60" spans="1:20" ht="11.25" customHeight="1" thickBot="1" x14ac:dyDescent="0.2">
      <c r="A60" s="67"/>
      <c r="C60" s="66" t="s">
        <v>181</v>
      </c>
      <c r="L60" s="121" t="s">
        <v>159</v>
      </c>
      <c r="N60" s="360">
        <f>+N58-N59</f>
        <v>0</v>
      </c>
      <c r="O60" s="360"/>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61"/>
      <c r="C63" s="361"/>
      <c r="D63" s="361"/>
      <c r="E63" s="361"/>
      <c r="F63" s="361"/>
      <c r="G63" s="361"/>
      <c r="H63" s="361"/>
      <c r="I63" s="361"/>
      <c r="J63" s="361"/>
      <c r="K63" s="361"/>
      <c r="L63" s="361"/>
      <c r="M63" s="361"/>
      <c r="N63" s="361"/>
      <c r="O63" s="361"/>
      <c r="P63" s="361"/>
      <c r="Q63" s="361"/>
      <c r="R63" s="361"/>
      <c r="S63" s="361"/>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62" t="s">
        <v>184</v>
      </c>
      <c r="Q68" s="362"/>
      <c r="R68" s="362"/>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G1:O1"/>
    <mergeCell ref="E2:I2"/>
    <mergeCell ref="J8:K8"/>
    <mergeCell ref="L8:M8"/>
    <mergeCell ref="Q8:R8"/>
    <mergeCell ref="B47:S47"/>
    <mergeCell ref="F4:R4"/>
    <mergeCell ref="F6:R6"/>
    <mergeCell ref="O8:P8"/>
    <mergeCell ref="B16:C16"/>
    <mergeCell ref="K16:L16"/>
    <mergeCell ref="D8:G8"/>
    <mergeCell ref="L29:R29"/>
    <mergeCell ref="K31:L31"/>
    <mergeCell ref="B48:S48"/>
    <mergeCell ref="P68:R68"/>
    <mergeCell ref="E53:F53"/>
    <mergeCell ref="N58:O58"/>
    <mergeCell ref="N59:O59"/>
    <mergeCell ref="N60:O60"/>
    <mergeCell ref="B49:S49"/>
    <mergeCell ref="B50:S50"/>
    <mergeCell ref="B51:S51"/>
    <mergeCell ref="B63:S63"/>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D4426-1463-4773-BF7C-9C99EEC01742}">
  <sheetPr codeName="Hoja14"/>
  <dimension ref="A1:T70"/>
  <sheetViews>
    <sheetView showGridLines="0" showWhiteSpace="0" topLeftCell="A37" zoomScaleNormal="100" zoomScaleSheetLayoutView="100" workbookViewId="0">
      <selection activeCell="F7" sqref="F7"/>
    </sheetView>
  </sheetViews>
  <sheetFormatPr baseColWidth="10" defaultRowHeight="10.5" x14ac:dyDescent="0.15"/>
  <cols>
    <col min="1" max="1" width="2.25" style="66" customWidth="1"/>
    <col min="2" max="2" width="3.875" style="66" customWidth="1"/>
    <col min="3" max="3" width="5.125" style="66" customWidth="1"/>
    <col min="4" max="4" width="1.75" style="66" customWidth="1"/>
    <col min="5" max="5" width="11.25" style="66" customWidth="1"/>
    <col min="6" max="6" width="1.375" style="66" customWidth="1"/>
    <col min="7" max="7" width="6" style="66" customWidth="1"/>
    <col min="8" max="8" width="3.375" style="66" customWidth="1"/>
    <col min="9" max="9" width="10.75" style="66" customWidth="1"/>
    <col min="10" max="11" width="2.625" style="66" customWidth="1"/>
    <col min="12" max="12" width="6.5" style="66" customWidth="1"/>
    <col min="13" max="13" width="2.125" style="66" customWidth="1"/>
    <col min="14" max="14" width="11.25" style="66" customWidth="1"/>
    <col min="15" max="15" width="1.375" style="66" customWidth="1"/>
    <col min="16" max="16" width="6.125" style="66" customWidth="1"/>
    <col min="17" max="17" width="3.375" style="66" customWidth="1"/>
    <col min="18" max="18" width="10.75" style="66" customWidth="1"/>
    <col min="19" max="19" width="1.375" style="66" customWidth="1"/>
    <col min="20" max="20" width="1.125" style="66" customWidth="1"/>
    <col min="21" max="16384" width="11" style="66"/>
  </cols>
  <sheetData>
    <row r="1" spans="1:20" ht="32.25" customHeight="1" thickTop="1" x14ac:dyDescent="0.2">
      <c r="A1" s="62"/>
      <c r="B1" s="63"/>
      <c r="C1" s="64"/>
      <c r="D1" s="64"/>
      <c r="E1" s="64"/>
      <c r="F1" s="64"/>
      <c r="G1" s="64"/>
      <c r="H1" s="363" t="s">
        <v>261</v>
      </c>
      <c r="I1" s="363"/>
      <c r="J1" s="363"/>
      <c r="K1" s="363"/>
      <c r="L1" s="363"/>
      <c r="M1" s="363"/>
      <c r="N1" s="363"/>
      <c r="O1" s="64"/>
      <c r="P1" s="64"/>
      <c r="Q1" s="64"/>
      <c r="R1" s="64"/>
      <c r="S1" s="64"/>
      <c r="T1" s="65"/>
    </row>
    <row r="2" spans="1:20" ht="17.25" customHeight="1" x14ac:dyDescent="0.2">
      <c r="A2" s="67"/>
      <c r="B2" s="68" t="s">
        <v>10</v>
      </c>
      <c r="C2" s="68"/>
      <c r="D2" s="68"/>
      <c r="E2" s="353" t="s">
        <v>287</v>
      </c>
      <c r="F2" s="353"/>
      <c r="G2" s="353"/>
      <c r="H2" s="353"/>
      <c r="I2" s="353"/>
      <c r="J2" s="68"/>
      <c r="K2" s="68"/>
      <c r="L2" s="68"/>
      <c r="M2" s="68"/>
      <c r="N2" s="68"/>
      <c r="O2" s="68"/>
      <c r="P2" s="68"/>
      <c r="Q2" s="68"/>
      <c r="R2" s="68"/>
      <c r="S2" s="69"/>
      <c r="T2" s="70"/>
    </row>
    <row r="3" spans="1:20" ht="9.75" customHeight="1" x14ac:dyDescent="0.25">
      <c r="A3" s="67"/>
      <c r="B3" s="71"/>
      <c r="C3" s="69"/>
      <c r="D3" s="69"/>
      <c r="E3" s="69"/>
      <c r="F3" s="69"/>
      <c r="G3" s="69"/>
      <c r="H3" s="69"/>
      <c r="I3" s="69"/>
      <c r="J3" s="69"/>
      <c r="K3" s="69"/>
      <c r="L3" s="69"/>
      <c r="M3" s="69"/>
      <c r="N3" s="69"/>
      <c r="O3" s="69"/>
      <c r="P3" s="69"/>
      <c r="Q3" s="69"/>
      <c r="R3" s="69"/>
      <c r="S3" s="69"/>
      <c r="T3" s="70"/>
    </row>
    <row r="4" spans="1:20" ht="14.25" customHeight="1" x14ac:dyDescent="0.15">
      <c r="A4" s="67"/>
      <c r="B4" s="72" t="s">
        <v>150</v>
      </c>
      <c r="C4" s="72"/>
      <c r="D4" s="72"/>
      <c r="E4" s="72"/>
      <c r="F4" s="354" t="s">
        <v>503</v>
      </c>
      <c r="G4" s="354"/>
      <c r="H4" s="354"/>
      <c r="I4" s="354"/>
      <c r="J4" s="354"/>
      <c r="K4" s="354"/>
      <c r="L4" s="354"/>
      <c r="M4" s="354"/>
      <c r="N4" s="354"/>
      <c r="O4" s="354"/>
      <c r="P4" s="354"/>
      <c r="Q4" s="354"/>
      <c r="R4" s="354"/>
      <c r="S4" s="73"/>
      <c r="T4" s="74"/>
    </row>
    <row r="5" spans="1:20" ht="6" customHeight="1" x14ac:dyDescent="0.15">
      <c r="A5" s="67"/>
      <c r="B5" s="72"/>
      <c r="C5" s="72"/>
      <c r="D5" s="72"/>
      <c r="E5" s="72"/>
      <c r="F5" s="72"/>
      <c r="G5" s="72"/>
      <c r="H5" s="72"/>
      <c r="I5" s="72"/>
      <c r="J5" s="72"/>
      <c r="K5" s="72"/>
      <c r="L5" s="72"/>
      <c r="M5" s="72"/>
      <c r="N5" s="72"/>
      <c r="O5" s="72"/>
      <c r="P5" s="72"/>
      <c r="Q5" s="72"/>
      <c r="R5" s="72"/>
      <c r="S5" s="73"/>
      <c r="T5" s="74"/>
    </row>
    <row r="6" spans="1:20" ht="14.25" customHeight="1" x14ac:dyDescent="0.15">
      <c r="A6" s="67"/>
      <c r="B6" s="72" t="s">
        <v>151</v>
      </c>
      <c r="C6" s="72"/>
      <c r="D6" s="72"/>
      <c r="E6" s="72"/>
      <c r="F6" s="354" t="s">
        <v>507</v>
      </c>
      <c r="G6" s="354"/>
      <c r="H6" s="354"/>
      <c r="I6" s="354"/>
      <c r="J6" s="354"/>
      <c r="K6" s="354"/>
      <c r="L6" s="354"/>
      <c r="M6" s="354"/>
      <c r="N6" s="354"/>
      <c r="O6" s="354"/>
      <c r="P6" s="354"/>
      <c r="Q6" s="354"/>
      <c r="R6" s="354"/>
      <c r="S6" s="73"/>
      <c r="T6" s="74"/>
    </row>
    <row r="7" spans="1:20" ht="5.25" customHeight="1" x14ac:dyDescent="0.15">
      <c r="A7" s="67"/>
      <c r="B7" s="72"/>
      <c r="C7" s="72"/>
      <c r="D7" s="72"/>
      <c r="E7" s="72"/>
      <c r="F7" s="72"/>
      <c r="G7" s="72"/>
      <c r="H7" s="72"/>
      <c r="I7" s="72"/>
      <c r="J7" s="72"/>
      <c r="K7" s="72"/>
      <c r="L7" s="72"/>
      <c r="M7" s="72"/>
      <c r="N7" s="72"/>
      <c r="O7" s="72"/>
      <c r="P7" s="72"/>
      <c r="Q7" s="72"/>
      <c r="R7" s="72"/>
      <c r="S7" s="73"/>
      <c r="T7" s="74"/>
    </row>
    <row r="8" spans="1:20" ht="14.25" customHeight="1" x14ac:dyDescent="0.15">
      <c r="A8" s="67"/>
      <c r="B8" s="72" t="s">
        <v>152</v>
      </c>
      <c r="C8" s="72"/>
      <c r="D8" s="354" t="s">
        <v>287</v>
      </c>
      <c r="E8" s="354"/>
      <c r="F8" s="354"/>
      <c r="G8" s="354"/>
      <c r="H8" s="72"/>
      <c r="I8" s="194" t="s">
        <v>257</v>
      </c>
      <c r="J8" s="355">
        <v>0.375</v>
      </c>
      <c r="K8" s="355"/>
      <c r="L8" s="356" t="s">
        <v>258</v>
      </c>
      <c r="M8" s="356"/>
      <c r="N8" s="195">
        <v>0.37777777777777777</v>
      </c>
      <c r="O8" s="357" t="s">
        <v>259</v>
      </c>
      <c r="P8" s="358"/>
      <c r="Q8" s="359">
        <v>45405</v>
      </c>
      <c r="R8" s="354"/>
      <c r="S8" s="73"/>
      <c r="T8" s="74"/>
    </row>
    <row r="9" spans="1:20" x14ac:dyDescent="0.15">
      <c r="A9" s="67"/>
      <c r="B9" s="73"/>
      <c r="C9" s="73"/>
      <c r="D9" s="73"/>
      <c r="E9" s="73"/>
      <c r="F9" s="73"/>
      <c r="G9" s="73"/>
      <c r="H9" s="73"/>
      <c r="I9" s="73"/>
      <c r="J9" s="73"/>
      <c r="K9" s="73"/>
      <c r="L9" s="73"/>
      <c r="M9" s="73"/>
      <c r="N9" s="73"/>
      <c r="O9" s="73"/>
      <c r="P9" s="73"/>
      <c r="Q9" s="73"/>
      <c r="R9" s="73"/>
      <c r="S9" s="73"/>
      <c r="T9" s="74"/>
    </row>
    <row r="10" spans="1:20" x14ac:dyDescent="0.15">
      <c r="A10" s="67"/>
      <c r="B10" s="111" t="s">
        <v>153</v>
      </c>
      <c r="C10" s="73"/>
      <c r="D10" s="73"/>
      <c r="E10" s="73"/>
      <c r="F10" s="73"/>
      <c r="G10" s="73"/>
      <c r="H10" s="73"/>
      <c r="I10" s="73"/>
      <c r="J10" s="73"/>
      <c r="K10" s="73"/>
      <c r="L10" s="73"/>
      <c r="M10" s="73"/>
      <c r="N10" s="73"/>
      <c r="O10" s="73"/>
      <c r="P10" s="73"/>
      <c r="Q10" s="73"/>
      <c r="R10" s="73"/>
      <c r="S10" s="73"/>
      <c r="T10" s="74"/>
    </row>
    <row r="11" spans="1:20" x14ac:dyDescent="0.15">
      <c r="A11" s="67"/>
      <c r="T11" s="75"/>
    </row>
    <row r="12" spans="1:20" x14ac:dyDescent="0.15">
      <c r="A12" s="67"/>
      <c r="B12" s="76"/>
      <c r="C12" s="77"/>
      <c r="D12" s="77"/>
      <c r="E12" s="77"/>
      <c r="F12" s="77"/>
      <c r="G12" s="77"/>
      <c r="H12" s="77"/>
      <c r="I12" s="77"/>
      <c r="J12" s="77"/>
      <c r="K12" s="76"/>
      <c r="L12" s="77"/>
      <c r="M12" s="77"/>
      <c r="N12" s="77"/>
      <c r="O12" s="77"/>
      <c r="P12" s="77"/>
      <c r="Q12" s="77"/>
      <c r="R12" s="77"/>
      <c r="S12" s="78"/>
      <c r="T12" s="75"/>
    </row>
    <row r="13" spans="1:20" ht="1.5" customHeight="1" x14ac:dyDescent="0.15">
      <c r="A13" s="67"/>
      <c r="B13" s="79"/>
      <c r="C13" s="80"/>
      <c r="D13" s="80"/>
      <c r="E13" s="80"/>
      <c r="F13" s="80"/>
      <c r="G13" s="80"/>
      <c r="H13" s="80"/>
      <c r="I13" s="80"/>
      <c r="K13" s="81"/>
      <c r="S13" s="82"/>
      <c r="T13" s="75"/>
    </row>
    <row r="14" spans="1:20" x14ac:dyDescent="0.15">
      <c r="A14" s="67"/>
      <c r="B14" s="79" t="s">
        <v>154</v>
      </c>
      <c r="C14" s="83"/>
      <c r="D14" s="83"/>
      <c r="E14" s="83"/>
      <c r="F14" s="83"/>
      <c r="G14" s="83"/>
      <c r="H14" s="83"/>
      <c r="I14" s="83"/>
      <c r="K14" s="81"/>
      <c r="L14" s="83" t="s">
        <v>155</v>
      </c>
      <c r="M14" s="84"/>
      <c r="N14" s="84"/>
      <c r="O14" s="84"/>
      <c r="P14" s="84"/>
      <c r="Q14" s="84"/>
      <c r="R14" s="84"/>
      <c r="S14" s="82"/>
      <c r="T14" s="75"/>
    </row>
    <row r="15" spans="1:20" ht="6.75" customHeight="1" x14ac:dyDescent="0.15">
      <c r="A15" s="67"/>
      <c r="B15" s="81"/>
      <c r="K15" s="81"/>
      <c r="S15" s="82"/>
      <c r="T15" s="75"/>
    </row>
    <row r="16" spans="1:20" x14ac:dyDescent="0.15">
      <c r="A16" s="67"/>
      <c r="B16" s="370" t="s">
        <v>156</v>
      </c>
      <c r="C16" s="371"/>
      <c r="E16" s="85" t="s">
        <v>157</v>
      </c>
      <c r="F16" s="85"/>
      <c r="G16" s="85"/>
      <c r="H16" s="85"/>
      <c r="I16" s="85" t="s">
        <v>158</v>
      </c>
      <c r="J16" s="85"/>
      <c r="K16" s="370" t="s">
        <v>156</v>
      </c>
      <c r="L16" s="371"/>
      <c r="M16" s="85"/>
      <c r="N16" s="85" t="s">
        <v>157</v>
      </c>
      <c r="O16" s="85"/>
      <c r="P16" s="85"/>
      <c r="Q16" s="85"/>
      <c r="R16" s="85" t="s">
        <v>158</v>
      </c>
      <c r="S16" s="86"/>
      <c r="T16" s="75"/>
    </row>
    <row r="17" spans="1:20" x14ac:dyDescent="0.15">
      <c r="A17" s="67"/>
      <c r="B17" s="81"/>
      <c r="C17" s="87"/>
      <c r="D17" s="87"/>
      <c r="E17" s="87"/>
      <c r="F17" s="87"/>
      <c r="G17" s="87"/>
      <c r="H17" s="87"/>
      <c r="I17" s="87"/>
      <c r="J17" s="87"/>
      <c r="K17" s="88"/>
      <c r="L17" s="87"/>
      <c r="S17" s="82"/>
      <c r="T17" s="75"/>
    </row>
    <row r="18" spans="1:20" ht="15" customHeight="1" x14ac:dyDescent="0.15">
      <c r="A18" s="67"/>
      <c r="B18" s="81" t="s">
        <v>159</v>
      </c>
      <c r="C18" s="87">
        <v>0.05</v>
      </c>
      <c r="D18" s="87"/>
      <c r="E18" s="89"/>
      <c r="F18" s="87"/>
      <c r="G18" s="87"/>
      <c r="H18" s="87"/>
      <c r="I18" s="90">
        <f>C18*E18</f>
        <v>0</v>
      </c>
      <c r="J18" s="87"/>
      <c r="K18" s="88" t="s">
        <v>159</v>
      </c>
      <c r="L18" s="87">
        <v>5</v>
      </c>
      <c r="N18" s="173"/>
      <c r="O18" s="73"/>
      <c r="P18" s="87"/>
      <c r="Q18" s="87"/>
      <c r="R18" s="90">
        <f t="shared" ref="R18:R23" si="0">L18*N18</f>
        <v>0</v>
      </c>
      <c r="S18" s="92"/>
      <c r="T18" s="75"/>
    </row>
    <row r="19" spans="1:20" ht="15" customHeight="1" x14ac:dyDescent="0.15">
      <c r="A19" s="67"/>
      <c r="B19" s="81" t="s">
        <v>159</v>
      </c>
      <c r="C19" s="87">
        <v>0.1</v>
      </c>
      <c r="D19" s="87"/>
      <c r="E19" s="89"/>
      <c r="F19" s="87"/>
      <c r="G19" s="87"/>
      <c r="H19" s="87"/>
      <c r="I19" s="90">
        <f t="shared" ref="I19:I24" si="1">C19*E19</f>
        <v>0</v>
      </c>
      <c r="J19" s="87"/>
      <c r="K19" s="88" t="s">
        <v>159</v>
      </c>
      <c r="L19" s="87">
        <v>10</v>
      </c>
      <c r="N19" s="173">
        <v>1</v>
      </c>
      <c r="O19" s="73"/>
      <c r="P19" s="87"/>
      <c r="Q19" s="87"/>
      <c r="R19" s="90">
        <f t="shared" si="0"/>
        <v>10</v>
      </c>
      <c r="S19" s="92"/>
      <c r="T19" s="75"/>
    </row>
    <row r="20" spans="1:20" ht="15" customHeight="1" x14ac:dyDescent="0.15">
      <c r="A20" s="67"/>
      <c r="B20" s="81" t="s">
        <v>159</v>
      </c>
      <c r="C20" s="87">
        <v>0.2</v>
      </c>
      <c r="D20" s="87"/>
      <c r="E20" s="89"/>
      <c r="F20" s="87"/>
      <c r="G20" s="87"/>
      <c r="H20" s="87"/>
      <c r="I20" s="90">
        <f t="shared" si="1"/>
        <v>0</v>
      </c>
      <c r="J20" s="87"/>
      <c r="K20" s="88" t="s">
        <v>159</v>
      </c>
      <c r="L20" s="87">
        <v>20</v>
      </c>
      <c r="N20" s="173"/>
      <c r="O20" s="73"/>
      <c r="P20" s="87"/>
      <c r="Q20" s="87"/>
      <c r="R20" s="90">
        <f t="shared" si="0"/>
        <v>0</v>
      </c>
      <c r="S20" s="92"/>
      <c r="T20" s="75"/>
    </row>
    <row r="21" spans="1:20" ht="15" customHeight="1" x14ac:dyDescent="0.15">
      <c r="A21" s="67"/>
      <c r="B21" s="81" t="s">
        <v>159</v>
      </c>
      <c r="C21" s="87">
        <v>0.5</v>
      </c>
      <c r="D21" s="87"/>
      <c r="E21" s="89"/>
      <c r="F21" s="87"/>
      <c r="G21" s="87"/>
      <c r="H21" s="87"/>
      <c r="I21" s="90">
        <f t="shared" si="1"/>
        <v>0</v>
      </c>
      <c r="J21" s="87"/>
      <c r="K21" s="88" t="s">
        <v>159</v>
      </c>
      <c r="L21" s="87">
        <v>50</v>
      </c>
      <c r="N21" s="173">
        <v>1</v>
      </c>
      <c r="O21" s="73"/>
      <c r="P21" s="87"/>
      <c r="Q21" s="87"/>
      <c r="R21" s="90">
        <f t="shared" si="0"/>
        <v>50</v>
      </c>
      <c r="S21" s="92"/>
      <c r="T21" s="75"/>
    </row>
    <row r="22" spans="1:20" ht="15" customHeight="1" x14ac:dyDescent="0.15">
      <c r="A22" s="67"/>
      <c r="B22" s="81" t="s">
        <v>159</v>
      </c>
      <c r="C22" s="87">
        <v>1</v>
      </c>
      <c r="D22" s="87"/>
      <c r="E22" s="89"/>
      <c r="F22" s="87"/>
      <c r="G22" s="87"/>
      <c r="H22" s="87"/>
      <c r="I22" s="90">
        <f t="shared" si="1"/>
        <v>0</v>
      </c>
      <c r="J22" s="87"/>
      <c r="K22" s="88" t="s">
        <v>159</v>
      </c>
      <c r="L22" s="87">
        <v>100</v>
      </c>
      <c r="N22" s="173">
        <v>2</v>
      </c>
      <c r="O22" s="73"/>
      <c r="P22" s="87"/>
      <c r="Q22" s="87"/>
      <c r="R22" s="90">
        <f t="shared" si="0"/>
        <v>200</v>
      </c>
      <c r="S22" s="92"/>
      <c r="T22" s="75"/>
    </row>
    <row r="23" spans="1:20" ht="15" customHeight="1" x14ac:dyDescent="0.15">
      <c r="A23" s="67"/>
      <c r="B23" s="81" t="s">
        <v>159</v>
      </c>
      <c r="C23" s="87">
        <v>2</v>
      </c>
      <c r="D23" s="87"/>
      <c r="E23" s="89"/>
      <c r="F23" s="87"/>
      <c r="G23" s="87"/>
      <c r="H23" s="87"/>
      <c r="I23" s="90">
        <f t="shared" si="1"/>
        <v>0</v>
      </c>
      <c r="J23" s="87"/>
      <c r="K23" s="88" t="s">
        <v>159</v>
      </c>
      <c r="L23" s="87">
        <v>200</v>
      </c>
      <c r="N23" s="173"/>
      <c r="O23" s="73"/>
      <c r="P23" s="87"/>
      <c r="Q23" s="87"/>
      <c r="R23" s="90">
        <f t="shared" si="0"/>
        <v>0</v>
      </c>
      <c r="S23" s="92"/>
      <c r="T23" s="75"/>
    </row>
    <row r="24" spans="1:20" ht="15" customHeight="1" x14ac:dyDescent="0.15">
      <c r="A24" s="67"/>
      <c r="B24" s="81" t="s">
        <v>159</v>
      </c>
      <c r="C24" s="87">
        <v>5</v>
      </c>
      <c r="D24" s="87"/>
      <c r="E24" s="89">
        <v>1</v>
      </c>
      <c r="F24" s="87"/>
      <c r="G24" s="87"/>
      <c r="H24" s="87"/>
      <c r="I24" s="90">
        <f t="shared" si="1"/>
        <v>5</v>
      </c>
      <c r="J24" s="87"/>
      <c r="K24" s="88" t="s">
        <v>159</v>
      </c>
      <c r="L24" s="87" t="s">
        <v>160</v>
      </c>
      <c r="N24" s="173"/>
      <c r="O24" s="73"/>
      <c r="P24" s="87"/>
      <c r="Q24" s="87"/>
      <c r="R24" s="90"/>
      <c r="S24" s="92"/>
      <c r="T24" s="75"/>
    </row>
    <row r="25" spans="1:20" ht="15.75" customHeight="1" thickBot="1" x14ac:dyDescent="0.2">
      <c r="A25" s="67"/>
      <c r="B25" s="81"/>
      <c r="C25" s="87"/>
      <c r="D25" s="87"/>
      <c r="E25" s="73"/>
      <c r="F25" s="87"/>
      <c r="G25" s="87"/>
      <c r="H25" s="87"/>
      <c r="I25" s="73"/>
      <c r="J25" s="87"/>
      <c r="K25" s="88"/>
      <c r="L25" s="87"/>
      <c r="N25" s="73"/>
      <c r="O25" s="73"/>
      <c r="P25" s="87"/>
      <c r="Q25" s="87"/>
      <c r="R25" s="73"/>
      <c r="S25" s="92"/>
      <c r="T25" s="75"/>
    </row>
    <row r="26" spans="1:20" ht="15" customHeight="1" thickBot="1" x14ac:dyDescent="0.2">
      <c r="A26" s="67"/>
      <c r="B26" s="81"/>
      <c r="C26" s="73"/>
      <c r="G26" s="93" t="s">
        <v>161</v>
      </c>
      <c r="I26" s="94">
        <f>SUM(I18:I24)</f>
        <v>5</v>
      </c>
      <c r="K26" s="81"/>
      <c r="L26" s="73"/>
      <c r="P26" s="93" t="s">
        <v>162</v>
      </c>
      <c r="R26" s="94">
        <f>SUM(R18:R24)</f>
        <v>260</v>
      </c>
      <c r="S26" s="82"/>
      <c r="T26" s="75"/>
    </row>
    <row r="27" spans="1:20" ht="5.25" customHeight="1" thickBot="1" x14ac:dyDescent="0.2">
      <c r="A27" s="95"/>
      <c r="B27" s="96"/>
      <c r="C27" s="97"/>
      <c r="D27" s="98"/>
      <c r="E27" s="98"/>
      <c r="F27" s="98"/>
      <c r="G27" s="99"/>
      <c r="H27" s="98"/>
      <c r="I27" s="98"/>
      <c r="J27" s="98"/>
      <c r="K27" s="96"/>
      <c r="L27" s="97"/>
      <c r="M27" s="98"/>
      <c r="N27" s="98"/>
      <c r="O27" s="98"/>
      <c r="P27" s="99"/>
      <c r="Q27" s="98"/>
      <c r="R27" s="98"/>
      <c r="S27" s="100"/>
      <c r="T27" s="101"/>
    </row>
    <row r="28" spans="1:20" ht="6.75" customHeight="1" thickTop="1" x14ac:dyDescent="0.15">
      <c r="A28" s="67"/>
      <c r="B28" s="81"/>
      <c r="C28" s="73"/>
      <c r="G28" s="93"/>
      <c r="K28" s="81"/>
      <c r="L28" s="73"/>
      <c r="P28" s="93"/>
      <c r="S28" s="82"/>
      <c r="T28" s="75"/>
    </row>
    <row r="29" spans="1:20" ht="15" customHeight="1" x14ac:dyDescent="0.15">
      <c r="A29" s="67"/>
      <c r="B29" s="79" t="s">
        <v>163</v>
      </c>
      <c r="C29" s="102"/>
      <c r="D29" s="102"/>
      <c r="E29" s="102"/>
      <c r="F29" s="102"/>
      <c r="G29" s="102"/>
      <c r="H29" s="102"/>
      <c r="I29" s="102"/>
      <c r="J29" s="87"/>
      <c r="K29" s="88"/>
      <c r="L29" s="372" t="s">
        <v>164</v>
      </c>
      <c r="M29" s="372"/>
      <c r="N29" s="372"/>
      <c r="O29" s="372"/>
      <c r="P29" s="372"/>
      <c r="Q29" s="372"/>
      <c r="R29" s="372"/>
      <c r="S29" s="82"/>
      <c r="T29" s="75"/>
    </row>
    <row r="30" spans="1:20" ht="7.5" customHeight="1" x14ac:dyDescent="0.15">
      <c r="A30" s="67"/>
      <c r="B30" s="79"/>
      <c r="C30" s="103"/>
      <c r="D30" s="103"/>
      <c r="E30" s="103"/>
      <c r="F30" s="103"/>
      <c r="G30" s="103"/>
      <c r="H30" s="103"/>
      <c r="I30" s="103"/>
      <c r="J30" s="87"/>
      <c r="K30" s="88"/>
      <c r="L30" s="85"/>
      <c r="M30" s="85"/>
      <c r="N30" s="85"/>
      <c r="O30" s="85"/>
      <c r="P30" s="85"/>
      <c r="Q30" s="85"/>
      <c r="R30" s="85"/>
      <c r="S30" s="82"/>
      <c r="T30" s="75"/>
    </row>
    <row r="31" spans="1:20" ht="15.75" customHeight="1" x14ac:dyDescent="0.15">
      <c r="A31" s="67"/>
      <c r="B31" s="104" t="s">
        <v>156</v>
      </c>
      <c r="C31" s="87"/>
      <c r="D31" s="87"/>
      <c r="E31" s="87"/>
      <c r="F31" s="87"/>
      <c r="G31" s="87"/>
      <c r="H31" s="87"/>
      <c r="I31" s="85" t="s">
        <v>165</v>
      </c>
      <c r="J31" s="87"/>
      <c r="K31" s="370" t="s">
        <v>156</v>
      </c>
      <c r="L31" s="371"/>
      <c r="M31" s="85"/>
      <c r="N31" s="85" t="s">
        <v>157</v>
      </c>
      <c r="O31" s="85"/>
      <c r="P31" s="85"/>
      <c r="Q31" s="85"/>
      <c r="R31" s="85" t="s">
        <v>165</v>
      </c>
      <c r="S31" s="86"/>
      <c r="T31" s="75"/>
    </row>
    <row r="32" spans="1:20" ht="3.75" customHeight="1" x14ac:dyDescent="0.15">
      <c r="A32" s="67"/>
      <c r="B32" s="104"/>
      <c r="C32" s="87"/>
      <c r="D32" s="87"/>
      <c r="E32" s="87"/>
      <c r="F32" s="87"/>
      <c r="G32" s="87"/>
      <c r="H32" s="87"/>
      <c r="I32" s="87"/>
      <c r="J32" s="87"/>
      <c r="K32" s="105"/>
      <c r="L32" s="106"/>
      <c r="M32" s="85"/>
      <c r="N32" s="85"/>
      <c r="O32" s="85"/>
      <c r="P32" s="85"/>
      <c r="Q32" s="85"/>
      <c r="R32" s="85"/>
      <c r="S32" s="86"/>
      <c r="T32" s="75"/>
    </row>
    <row r="33" spans="1:20" ht="15.75" customHeight="1" x14ac:dyDescent="0.15">
      <c r="A33" s="67"/>
      <c r="B33" s="81" t="s">
        <v>166</v>
      </c>
      <c r="C33" s="87">
        <v>0.1</v>
      </c>
      <c r="D33" s="87"/>
      <c r="E33" s="91"/>
      <c r="F33" s="87"/>
      <c r="G33" s="87"/>
      <c r="I33" s="90">
        <f>C33*E33</f>
        <v>0</v>
      </c>
      <c r="J33" s="87"/>
      <c r="K33" s="81" t="s">
        <v>166</v>
      </c>
      <c r="L33" s="87">
        <v>1</v>
      </c>
      <c r="N33" s="173"/>
      <c r="O33" s="73"/>
      <c r="P33" s="87"/>
      <c r="R33" s="90">
        <f>L33*N33</f>
        <v>0</v>
      </c>
      <c r="S33" s="92"/>
      <c r="T33" s="75"/>
    </row>
    <row r="34" spans="1:20" ht="15.75" customHeight="1" x14ac:dyDescent="0.15">
      <c r="A34" s="67"/>
      <c r="B34" s="81" t="s">
        <v>166</v>
      </c>
      <c r="C34" s="87">
        <v>0.2</v>
      </c>
      <c r="D34" s="87"/>
      <c r="E34" s="91"/>
      <c r="F34" s="87"/>
      <c r="G34" s="87"/>
      <c r="I34" s="90">
        <f>C34*E34</f>
        <v>0</v>
      </c>
      <c r="J34" s="87"/>
      <c r="K34" s="81" t="s">
        <v>166</v>
      </c>
      <c r="L34" s="87">
        <v>2</v>
      </c>
      <c r="N34" s="173"/>
      <c r="O34" s="73"/>
      <c r="P34" s="87"/>
      <c r="R34" s="90">
        <f t="shared" ref="R34:R39" si="2">L34*N34</f>
        <v>0</v>
      </c>
      <c r="S34" s="92"/>
      <c r="T34" s="75"/>
    </row>
    <row r="35" spans="1:20" ht="15.75" customHeight="1" x14ac:dyDescent="0.15">
      <c r="A35" s="67"/>
      <c r="B35" s="81" t="s">
        <v>166</v>
      </c>
      <c r="C35" s="87">
        <v>0.5</v>
      </c>
      <c r="D35" s="87"/>
      <c r="E35" s="91"/>
      <c r="F35" s="87"/>
      <c r="G35" s="87"/>
      <c r="I35" s="90">
        <f>C35*E35</f>
        <v>0</v>
      </c>
      <c r="J35" s="87"/>
      <c r="K35" s="81" t="s">
        <v>166</v>
      </c>
      <c r="L35" s="87">
        <v>5</v>
      </c>
      <c r="N35" s="173"/>
      <c r="O35" s="73"/>
      <c r="P35" s="87"/>
      <c r="R35" s="90">
        <f t="shared" si="2"/>
        <v>0</v>
      </c>
      <c r="S35" s="92"/>
      <c r="T35" s="75"/>
    </row>
    <row r="36" spans="1:20" ht="15.75" customHeight="1" x14ac:dyDescent="0.15">
      <c r="A36" s="67"/>
      <c r="B36" s="81" t="s">
        <v>166</v>
      </c>
      <c r="C36" s="87">
        <v>1</v>
      </c>
      <c r="D36" s="87"/>
      <c r="E36" s="91"/>
      <c r="F36" s="87"/>
      <c r="G36" s="87"/>
      <c r="I36" s="90">
        <f>C36*E36</f>
        <v>0</v>
      </c>
      <c r="J36" s="87"/>
      <c r="K36" s="81" t="s">
        <v>166</v>
      </c>
      <c r="L36" s="87">
        <v>10</v>
      </c>
      <c r="N36" s="173"/>
      <c r="O36" s="73"/>
      <c r="P36" s="87"/>
      <c r="R36" s="90">
        <f t="shared" si="2"/>
        <v>0</v>
      </c>
      <c r="S36" s="92"/>
      <c r="T36" s="75"/>
    </row>
    <row r="37" spans="1:20" ht="15.75" customHeight="1" x14ac:dyDescent="0.15">
      <c r="A37" s="67"/>
      <c r="B37" s="81" t="s">
        <v>166</v>
      </c>
      <c r="C37" s="107"/>
      <c r="D37" s="87"/>
      <c r="E37" s="91"/>
      <c r="F37" s="87"/>
      <c r="G37" s="87"/>
      <c r="I37" s="90"/>
      <c r="J37" s="87"/>
      <c r="K37" s="81" t="s">
        <v>166</v>
      </c>
      <c r="L37" s="87">
        <v>20</v>
      </c>
      <c r="N37" s="173"/>
      <c r="O37" s="73"/>
      <c r="P37" s="87"/>
      <c r="R37" s="90">
        <f t="shared" si="2"/>
        <v>0</v>
      </c>
      <c r="S37" s="92"/>
      <c r="T37" s="75"/>
    </row>
    <row r="38" spans="1:20" ht="15.75" customHeight="1" x14ac:dyDescent="0.15">
      <c r="A38" s="67"/>
      <c r="B38" s="81" t="s">
        <v>166</v>
      </c>
      <c r="C38" s="107"/>
      <c r="D38" s="87"/>
      <c r="E38" s="91"/>
      <c r="F38" s="87"/>
      <c r="G38" s="87"/>
      <c r="I38" s="90"/>
      <c r="J38" s="87"/>
      <c r="K38" s="81" t="s">
        <v>166</v>
      </c>
      <c r="L38" s="87">
        <v>50</v>
      </c>
      <c r="N38" s="173"/>
      <c r="O38" s="73"/>
      <c r="P38" s="87"/>
      <c r="R38" s="90">
        <f t="shared" si="2"/>
        <v>0</v>
      </c>
      <c r="S38" s="92"/>
      <c r="T38" s="75"/>
    </row>
    <row r="39" spans="1:20" ht="15.75" customHeight="1" x14ac:dyDescent="0.15">
      <c r="A39" s="67"/>
      <c r="B39" s="81" t="s">
        <v>166</v>
      </c>
      <c r="C39" s="107"/>
      <c r="D39" s="87"/>
      <c r="E39" s="91"/>
      <c r="F39" s="87"/>
      <c r="G39" s="87"/>
      <c r="I39" s="90"/>
      <c r="J39" s="87"/>
      <c r="K39" s="81" t="s">
        <v>166</v>
      </c>
      <c r="L39" s="87">
        <v>100</v>
      </c>
      <c r="N39" s="173"/>
      <c r="O39" s="73"/>
      <c r="P39" s="87"/>
      <c r="R39" s="90">
        <f t="shared" si="2"/>
        <v>0</v>
      </c>
      <c r="S39" s="92"/>
      <c r="T39" s="75"/>
    </row>
    <row r="40" spans="1:20" ht="2.25" customHeight="1" thickBot="1" x14ac:dyDescent="0.2">
      <c r="A40" s="67"/>
      <c r="B40" s="81"/>
      <c r="K40" s="81"/>
      <c r="N40" s="73"/>
      <c r="S40" s="82"/>
      <c r="T40" s="75"/>
    </row>
    <row r="41" spans="1:20" ht="15" customHeight="1" thickBot="1" x14ac:dyDescent="0.2">
      <c r="A41" s="67"/>
      <c r="B41" s="81"/>
      <c r="C41" s="73"/>
      <c r="G41" s="93" t="s">
        <v>161</v>
      </c>
      <c r="I41" s="94">
        <f>SUM(I33:I39)</f>
        <v>0</v>
      </c>
      <c r="K41" s="81"/>
      <c r="L41" s="73"/>
      <c r="P41" s="93" t="s">
        <v>162</v>
      </c>
      <c r="R41" s="94">
        <f>SUM(R33:R39)</f>
        <v>0</v>
      </c>
      <c r="S41" s="82"/>
      <c r="T41" s="75"/>
    </row>
    <row r="42" spans="1:20" ht="4.5" customHeight="1" x14ac:dyDescent="0.15">
      <c r="A42" s="67"/>
      <c r="B42" s="108"/>
      <c r="C42" s="109"/>
      <c r="D42" s="109"/>
      <c r="E42" s="109"/>
      <c r="F42" s="109"/>
      <c r="G42" s="109"/>
      <c r="H42" s="109"/>
      <c r="I42" s="109"/>
      <c r="J42" s="109"/>
      <c r="K42" s="108"/>
      <c r="L42" s="109"/>
      <c r="M42" s="109"/>
      <c r="N42" s="109"/>
      <c r="O42" s="109"/>
      <c r="P42" s="109"/>
      <c r="Q42" s="109"/>
      <c r="R42" s="109"/>
      <c r="S42" s="110"/>
      <c r="T42" s="75"/>
    </row>
    <row r="43" spans="1:20" ht="8.25" customHeight="1" x14ac:dyDescent="0.15">
      <c r="A43" s="67"/>
      <c r="T43" s="75"/>
    </row>
    <row r="44" spans="1:20" ht="14.25" customHeight="1" x14ac:dyDescent="0.15">
      <c r="A44" s="67"/>
      <c r="B44" s="111" t="s">
        <v>167</v>
      </c>
      <c r="T44" s="75"/>
    </row>
    <row r="45" spans="1:20" ht="4.5" customHeight="1" x14ac:dyDescent="0.15">
      <c r="A45" s="67"/>
      <c r="T45" s="75"/>
    </row>
    <row r="46" spans="1:20" ht="14.25" customHeight="1" x14ac:dyDescent="0.15">
      <c r="A46" s="67"/>
      <c r="B46" s="112" t="s">
        <v>168</v>
      </c>
      <c r="C46" s="113"/>
      <c r="D46" s="113"/>
      <c r="E46" s="114" t="s">
        <v>169</v>
      </c>
      <c r="F46" s="113"/>
      <c r="G46" s="113"/>
      <c r="H46" s="114" t="s">
        <v>170</v>
      </c>
      <c r="I46" s="114"/>
      <c r="J46" s="114" t="s">
        <v>171</v>
      </c>
      <c r="K46" s="113"/>
      <c r="L46" s="113"/>
      <c r="M46" s="113"/>
      <c r="N46" s="114" t="s">
        <v>172</v>
      </c>
      <c r="O46" s="114" t="s">
        <v>173</v>
      </c>
      <c r="P46" s="114"/>
      <c r="Q46" s="113"/>
      <c r="R46" s="113"/>
      <c r="S46" s="115"/>
      <c r="T46" s="75"/>
    </row>
    <row r="47" spans="1:20" ht="11.25" customHeight="1" x14ac:dyDescent="0.15">
      <c r="A47" s="67"/>
      <c r="B47" s="373"/>
      <c r="C47" s="374"/>
      <c r="D47" s="374"/>
      <c r="E47" s="374"/>
      <c r="F47" s="374"/>
      <c r="G47" s="374"/>
      <c r="H47" s="374"/>
      <c r="I47" s="374"/>
      <c r="J47" s="374"/>
      <c r="K47" s="374"/>
      <c r="L47" s="374"/>
      <c r="M47" s="374"/>
      <c r="N47" s="374"/>
      <c r="O47" s="374"/>
      <c r="P47" s="374"/>
      <c r="Q47" s="374"/>
      <c r="R47" s="374"/>
      <c r="S47" s="375"/>
      <c r="T47" s="75"/>
    </row>
    <row r="48" spans="1:20" ht="11.25" customHeight="1" x14ac:dyDescent="0.15">
      <c r="A48" s="67"/>
      <c r="B48" s="364"/>
      <c r="C48" s="365"/>
      <c r="D48" s="365"/>
      <c r="E48" s="365"/>
      <c r="F48" s="365"/>
      <c r="G48" s="365"/>
      <c r="H48" s="365"/>
      <c r="I48" s="365"/>
      <c r="J48" s="365"/>
      <c r="K48" s="365"/>
      <c r="L48" s="365"/>
      <c r="M48" s="365"/>
      <c r="N48" s="365"/>
      <c r="O48" s="365"/>
      <c r="P48" s="365"/>
      <c r="Q48" s="365"/>
      <c r="R48" s="365"/>
      <c r="S48" s="366"/>
      <c r="T48" s="75"/>
    </row>
    <row r="49" spans="1:20" ht="11.25" customHeight="1" x14ac:dyDescent="0.15">
      <c r="A49" s="67"/>
      <c r="B49" s="364"/>
      <c r="C49" s="365"/>
      <c r="D49" s="365"/>
      <c r="E49" s="365"/>
      <c r="F49" s="365"/>
      <c r="G49" s="365"/>
      <c r="H49" s="365"/>
      <c r="I49" s="365"/>
      <c r="J49" s="365"/>
      <c r="K49" s="365"/>
      <c r="L49" s="365"/>
      <c r="M49" s="365"/>
      <c r="N49" s="365"/>
      <c r="O49" s="365"/>
      <c r="P49" s="365"/>
      <c r="Q49" s="365"/>
      <c r="R49" s="365"/>
      <c r="S49" s="366"/>
      <c r="T49" s="75"/>
    </row>
    <row r="50" spans="1:20" ht="11.25" customHeight="1" x14ac:dyDescent="0.15">
      <c r="A50" s="67"/>
      <c r="B50" s="364"/>
      <c r="C50" s="365"/>
      <c r="D50" s="365"/>
      <c r="E50" s="365"/>
      <c r="F50" s="365"/>
      <c r="G50" s="365"/>
      <c r="H50" s="365"/>
      <c r="I50" s="365"/>
      <c r="J50" s="365"/>
      <c r="K50" s="365"/>
      <c r="L50" s="365"/>
      <c r="M50" s="365"/>
      <c r="N50" s="365"/>
      <c r="O50" s="365"/>
      <c r="P50" s="365"/>
      <c r="Q50" s="365"/>
      <c r="R50" s="365"/>
      <c r="S50" s="366"/>
      <c r="T50" s="75"/>
    </row>
    <row r="51" spans="1:20" ht="11.25" customHeight="1" x14ac:dyDescent="0.15">
      <c r="A51" s="67"/>
      <c r="B51" s="364"/>
      <c r="C51" s="365"/>
      <c r="D51" s="365"/>
      <c r="E51" s="365"/>
      <c r="F51" s="365"/>
      <c r="G51" s="365"/>
      <c r="H51" s="365"/>
      <c r="I51" s="365"/>
      <c r="J51" s="365"/>
      <c r="K51" s="365"/>
      <c r="L51" s="365"/>
      <c r="M51" s="365"/>
      <c r="N51" s="365"/>
      <c r="O51" s="365"/>
      <c r="P51" s="365"/>
      <c r="Q51" s="365"/>
      <c r="R51" s="365"/>
      <c r="S51" s="366"/>
      <c r="T51" s="75"/>
    </row>
    <row r="52" spans="1:20" ht="11.25" customHeight="1" x14ac:dyDescent="0.15">
      <c r="A52" s="67"/>
      <c r="B52" s="196"/>
      <c r="C52" s="197"/>
      <c r="D52" s="197"/>
      <c r="E52" s="197"/>
      <c r="F52" s="197"/>
      <c r="G52" s="197"/>
      <c r="H52" s="197"/>
      <c r="I52" s="197"/>
      <c r="J52" s="197"/>
      <c r="K52" s="197"/>
      <c r="L52" s="197"/>
      <c r="M52" s="197"/>
      <c r="N52" s="198"/>
      <c r="O52" s="197"/>
      <c r="P52" s="197"/>
      <c r="Q52" s="197"/>
      <c r="R52" s="197"/>
      <c r="S52" s="199"/>
      <c r="T52" s="75"/>
    </row>
    <row r="53" spans="1:20" ht="11.25" customHeight="1" thickBot="1" x14ac:dyDescent="0.2">
      <c r="A53" s="67"/>
      <c r="B53" s="124"/>
      <c r="C53" s="120"/>
      <c r="D53" s="120"/>
      <c r="E53" s="367"/>
      <c r="F53" s="367"/>
      <c r="N53" s="125"/>
      <c r="S53" s="82"/>
      <c r="T53" s="75"/>
    </row>
    <row r="54" spans="1:20" ht="11.25" customHeight="1" thickBot="1" x14ac:dyDescent="0.2">
      <c r="A54" s="67"/>
      <c r="B54" s="81"/>
      <c r="G54" s="93" t="s">
        <v>174</v>
      </c>
      <c r="I54" s="117"/>
      <c r="P54" s="93" t="s">
        <v>175</v>
      </c>
      <c r="R54" s="118">
        <v>0</v>
      </c>
      <c r="S54" s="82"/>
      <c r="T54" s="75"/>
    </row>
    <row r="55" spans="1:20" ht="3.75" customHeight="1" x14ac:dyDescent="0.15">
      <c r="A55" s="67"/>
      <c r="B55" s="108"/>
      <c r="C55" s="109"/>
      <c r="D55" s="109"/>
      <c r="E55" s="109"/>
      <c r="F55" s="109"/>
      <c r="G55" s="109"/>
      <c r="H55" s="109"/>
      <c r="I55" s="109"/>
      <c r="J55" s="109"/>
      <c r="K55" s="109"/>
      <c r="L55" s="109"/>
      <c r="M55" s="109"/>
      <c r="N55" s="109"/>
      <c r="O55" s="109"/>
      <c r="P55" s="109"/>
      <c r="Q55" s="109"/>
      <c r="R55" s="109"/>
      <c r="S55" s="110"/>
      <c r="T55" s="75"/>
    </row>
    <row r="56" spans="1:20" ht="11.25" customHeight="1" x14ac:dyDescent="0.15">
      <c r="A56" s="67"/>
      <c r="T56" s="75"/>
    </row>
    <row r="57" spans="1:20" ht="11.25" customHeight="1" x14ac:dyDescent="0.15">
      <c r="A57" s="67"/>
      <c r="B57" s="85" t="s">
        <v>176</v>
      </c>
      <c r="C57" s="66" t="s">
        <v>177</v>
      </c>
      <c r="N57" s="119" t="s">
        <v>178</v>
      </c>
      <c r="O57" s="119"/>
      <c r="P57" s="120"/>
      <c r="Q57" s="120"/>
      <c r="R57" s="119" t="s">
        <v>166</v>
      </c>
      <c r="S57" s="73"/>
      <c r="T57" s="75"/>
    </row>
    <row r="58" spans="1:20" ht="11.25" customHeight="1" x14ac:dyDescent="0.15">
      <c r="A58" s="67"/>
      <c r="C58" s="66" t="s">
        <v>179</v>
      </c>
      <c r="L58" s="121" t="s">
        <v>159</v>
      </c>
      <c r="N58" s="368">
        <f>I26+R26+R54+I54</f>
        <v>265</v>
      </c>
      <c r="O58" s="368"/>
      <c r="Q58" s="66" t="s">
        <v>166</v>
      </c>
      <c r="R58" s="122">
        <f>I41+R41+I54</f>
        <v>0</v>
      </c>
      <c r="S58" s="73"/>
      <c r="T58" s="75"/>
    </row>
    <row r="59" spans="1:20" ht="11.25" customHeight="1" x14ac:dyDescent="0.15">
      <c r="A59" s="67"/>
      <c r="C59" s="66" t="s">
        <v>180</v>
      </c>
      <c r="L59" s="121" t="s">
        <v>159</v>
      </c>
      <c r="N59" s="369">
        <v>264.93</v>
      </c>
      <c r="O59" s="369"/>
      <c r="Q59" s="66" t="s">
        <v>166</v>
      </c>
      <c r="R59" s="122"/>
      <c r="S59" s="73"/>
      <c r="T59" s="75"/>
    </row>
    <row r="60" spans="1:20" ht="11.25" customHeight="1" thickBot="1" x14ac:dyDescent="0.2">
      <c r="A60" s="67"/>
      <c r="C60" s="66" t="s">
        <v>181</v>
      </c>
      <c r="L60" s="121" t="s">
        <v>159</v>
      </c>
      <c r="N60" s="360">
        <f>+N58-N59</f>
        <v>6.9999999999993179E-2</v>
      </c>
      <c r="O60" s="360"/>
      <c r="Q60" s="66" t="s">
        <v>166</v>
      </c>
      <c r="R60" s="200">
        <f>R59-R58</f>
        <v>0</v>
      </c>
      <c r="S60" s="73"/>
      <c r="T60" s="75"/>
    </row>
    <row r="61" spans="1:20" ht="11.25" customHeight="1" thickTop="1" x14ac:dyDescent="0.15">
      <c r="A61" s="67"/>
      <c r="N61" s="121"/>
      <c r="R61" s="121"/>
      <c r="T61" s="75"/>
    </row>
    <row r="62" spans="1:20" ht="11.25" customHeight="1" x14ac:dyDescent="0.15">
      <c r="A62" s="67"/>
      <c r="B62" s="66" t="s">
        <v>182</v>
      </c>
      <c r="T62" s="75"/>
    </row>
    <row r="63" spans="1:20" ht="11.25" customHeight="1" x14ac:dyDescent="0.15">
      <c r="A63" s="67"/>
      <c r="B63" s="361"/>
      <c r="C63" s="361"/>
      <c r="D63" s="361"/>
      <c r="E63" s="361"/>
      <c r="F63" s="361"/>
      <c r="G63" s="361"/>
      <c r="H63" s="361"/>
      <c r="I63" s="361"/>
      <c r="J63" s="361"/>
      <c r="K63" s="361"/>
      <c r="L63" s="361"/>
      <c r="M63" s="361"/>
      <c r="N63" s="361"/>
      <c r="O63" s="361"/>
      <c r="P63" s="361"/>
      <c r="Q63" s="361"/>
      <c r="R63" s="361"/>
      <c r="S63" s="361"/>
      <c r="T63" s="75"/>
    </row>
    <row r="64" spans="1:20" ht="11.25" customHeight="1" x14ac:dyDescent="0.15">
      <c r="A64" s="67"/>
      <c r="B64" s="116"/>
      <c r="C64" s="116"/>
      <c r="D64" s="116"/>
      <c r="E64" s="116"/>
      <c r="F64" s="116"/>
      <c r="G64" s="116"/>
      <c r="H64" s="116"/>
      <c r="I64" s="116"/>
      <c r="J64" s="116"/>
      <c r="K64" s="116"/>
      <c r="L64" s="116"/>
      <c r="M64" s="116"/>
      <c r="N64" s="116"/>
      <c r="O64" s="116"/>
      <c r="P64" s="116"/>
      <c r="Q64" s="116"/>
      <c r="R64" s="116"/>
      <c r="S64" s="116"/>
      <c r="T64" s="75"/>
    </row>
    <row r="65" spans="1:20" ht="11.25" customHeight="1" x14ac:dyDescent="0.15">
      <c r="A65" s="67"/>
      <c r="T65" s="75"/>
    </row>
    <row r="66" spans="1:20" ht="11.25" customHeight="1" x14ac:dyDescent="0.15">
      <c r="A66" s="67"/>
      <c r="T66" s="75"/>
    </row>
    <row r="67" spans="1:20" x14ac:dyDescent="0.15">
      <c r="A67" s="67"/>
      <c r="B67" s="116"/>
      <c r="C67" s="116"/>
      <c r="D67" s="116"/>
      <c r="E67" s="116"/>
      <c r="P67" s="116"/>
      <c r="Q67" s="116"/>
      <c r="R67" s="116"/>
      <c r="T67" s="75"/>
    </row>
    <row r="68" spans="1:20" x14ac:dyDescent="0.15">
      <c r="A68" s="67"/>
      <c r="B68" s="80" t="s">
        <v>183</v>
      </c>
      <c r="C68" s="80"/>
      <c r="D68" s="80"/>
      <c r="E68" s="80"/>
      <c r="M68" s="80"/>
      <c r="P68" s="362" t="s">
        <v>184</v>
      </c>
      <c r="Q68" s="362"/>
      <c r="R68" s="362"/>
      <c r="T68" s="75"/>
    </row>
    <row r="69" spans="1:20" ht="11.25" thickBot="1" x14ac:dyDescent="0.2">
      <c r="A69" s="95"/>
      <c r="B69" s="123"/>
      <c r="C69" s="123"/>
      <c r="D69" s="123"/>
      <c r="E69" s="123"/>
      <c r="F69" s="98"/>
      <c r="G69" s="98"/>
      <c r="H69" s="98"/>
      <c r="I69" s="98"/>
      <c r="J69" s="98"/>
      <c r="K69" s="98"/>
      <c r="L69" s="98"/>
      <c r="M69" s="123"/>
      <c r="N69" s="123"/>
      <c r="O69" s="123"/>
      <c r="P69" s="123"/>
      <c r="Q69" s="123"/>
      <c r="R69" s="123"/>
      <c r="S69" s="123"/>
      <c r="T69" s="101"/>
    </row>
    <row r="70" spans="1:20" ht="11.25" thickTop="1" x14ac:dyDescent="0.15"/>
  </sheetData>
  <mergeCells count="24">
    <mergeCell ref="N60:O60"/>
    <mergeCell ref="B63:S63"/>
    <mergeCell ref="P68:R68"/>
    <mergeCell ref="H1:N1"/>
    <mergeCell ref="B49:S49"/>
    <mergeCell ref="B50:S50"/>
    <mergeCell ref="B51:S51"/>
    <mergeCell ref="E53:F53"/>
    <mergeCell ref="N58:O58"/>
    <mergeCell ref="N59:O59"/>
    <mergeCell ref="B16:C16"/>
    <mergeCell ref="K16:L16"/>
    <mergeCell ref="L29:R29"/>
    <mergeCell ref="K31:L31"/>
    <mergeCell ref="B47:S47"/>
    <mergeCell ref="B48:S48"/>
    <mergeCell ref="E2:I2"/>
    <mergeCell ref="F4:R4"/>
    <mergeCell ref="F6:R6"/>
    <mergeCell ref="D8:G8"/>
    <mergeCell ref="J8:K8"/>
    <mergeCell ref="L8:M8"/>
    <mergeCell ref="O8:P8"/>
    <mergeCell ref="Q8:R8"/>
  </mergeCells>
  <pageMargins left="0.98425196850393704" right="0.59055118110236227" top="0.98425196850393704" bottom="0.78740157480314965" header="0.59055118110236227" footer="0"/>
  <pageSetup scale="80" orientation="portrait" r:id="rId1"/>
  <headerFooter scaleWithDoc="0">
    <oddHeader>&amp;L
&amp;G&amp;C&amp;"-,Negrita"&amp;12
&amp;"Tahoma,Negrita"FORMULARIO DE ARQUEOS&amp;R&amp;"Tahoma,Negrita"&amp;10
Codificación:&amp;"Tahoma,Normal" FR-AI-001
&amp;"Tahoma,Negrita"Versión:&amp;"Tahoma,Normal" 1/2019</oddHead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360C2-7C90-4CE1-9A4F-B3C8996852D6}">
  <sheetPr codeName="Hoja29">
    <tabColor rgb="FFFFC000"/>
  </sheetPr>
  <dimension ref="A1:E17"/>
  <sheetViews>
    <sheetView zoomScaleNormal="100" zoomScaleSheetLayoutView="85" workbookViewId="0">
      <selection activeCell="C7" sqref="C7:D7"/>
    </sheetView>
  </sheetViews>
  <sheetFormatPr baseColWidth="10" defaultColWidth="10.75" defaultRowHeight="15" x14ac:dyDescent="0.25"/>
  <cols>
    <col min="1" max="1" width="14.125" style="305" customWidth="1"/>
    <col min="2" max="2" width="22.625" style="305" customWidth="1"/>
    <col min="3" max="3" width="15" style="305" customWidth="1"/>
    <col min="4" max="4" width="23.375" style="305" customWidth="1"/>
    <col min="5" max="5" width="37.75" style="305" customWidth="1"/>
    <col min="6" max="16384" width="10.75" style="305"/>
  </cols>
  <sheetData>
    <row r="1" spans="1:5" ht="15.75" x14ac:dyDescent="0.25">
      <c r="A1" s="380" t="s">
        <v>186</v>
      </c>
      <c r="B1" s="380"/>
      <c r="C1" s="380"/>
      <c r="D1" s="380"/>
      <c r="E1" s="304"/>
    </row>
    <row r="2" spans="1:5" ht="15.75" x14ac:dyDescent="0.25">
      <c r="A2" s="303"/>
      <c r="B2" s="303"/>
      <c r="C2" s="303"/>
      <c r="D2" s="303"/>
      <c r="E2" s="304"/>
    </row>
    <row r="3" spans="1:5" ht="15.75" x14ac:dyDescent="0.25">
      <c r="A3" s="306"/>
      <c r="B3" s="306"/>
      <c r="C3" s="306"/>
      <c r="D3" s="306"/>
      <c r="E3" s="304"/>
    </row>
    <row r="4" spans="1:5" ht="15.75" x14ac:dyDescent="0.25">
      <c r="A4" s="381" t="s">
        <v>187</v>
      </c>
      <c r="B4" s="381"/>
      <c r="C4" s="382"/>
      <c r="D4" s="383"/>
      <c r="E4" s="304"/>
    </row>
    <row r="5" spans="1:5" x14ac:dyDescent="0.25">
      <c r="A5" s="381" t="s">
        <v>188</v>
      </c>
      <c r="B5" s="381"/>
      <c r="C5" s="382"/>
      <c r="D5" s="383"/>
      <c r="E5" s="307"/>
    </row>
    <row r="6" spans="1:5" x14ac:dyDescent="0.25">
      <c r="A6" s="376" t="s">
        <v>453</v>
      </c>
      <c r="B6" s="377"/>
      <c r="C6" s="378"/>
      <c r="D6" s="379"/>
      <c r="E6" s="307"/>
    </row>
    <row r="7" spans="1:5" ht="15.75" x14ac:dyDescent="0.25">
      <c r="A7" s="381" t="s">
        <v>189</v>
      </c>
      <c r="B7" s="381"/>
      <c r="C7" s="384" t="s">
        <v>4</v>
      </c>
      <c r="D7" s="384"/>
      <c r="E7" s="304"/>
    </row>
    <row r="8" spans="1:5" ht="15.75" x14ac:dyDescent="0.25">
      <c r="A8" s="387"/>
      <c r="B8" s="388"/>
      <c r="C8" s="389"/>
      <c r="D8" s="389"/>
      <c r="E8" s="308"/>
    </row>
    <row r="9" spans="1:5" ht="15.75" x14ac:dyDescent="0.25">
      <c r="A9" s="306"/>
      <c r="B9" s="306"/>
      <c r="C9" s="306"/>
      <c r="D9" s="306"/>
      <c r="E9" s="304"/>
    </row>
    <row r="10" spans="1:5" ht="15.75" x14ac:dyDescent="0.25">
      <c r="A10" s="381" t="s">
        <v>454</v>
      </c>
      <c r="B10" s="381"/>
      <c r="C10" s="382"/>
      <c r="D10" s="383"/>
      <c r="E10" s="304"/>
    </row>
    <row r="11" spans="1:5" ht="15.75" x14ac:dyDescent="0.25">
      <c r="A11" s="381" t="s">
        <v>188</v>
      </c>
      <c r="B11" s="381"/>
      <c r="C11" s="390"/>
      <c r="D11" s="391"/>
      <c r="E11" s="304"/>
    </row>
    <row r="12" spans="1:5" ht="15.75" x14ac:dyDescent="0.25">
      <c r="A12" s="376" t="s">
        <v>453</v>
      </c>
      <c r="B12" s="377"/>
      <c r="C12" s="378"/>
      <c r="D12" s="379"/>
      <c r="E12" s="304"/>
    </row>
    <row r="13" spans="1:5" ht="15.75" x14ac:dyDescent="0.25">
      <c r="A13" s="381" t="s">
        <v>189</v>
      </c>
      <c r="B13" s="381"/>
      <c r="C13" s="384" t="s">
        <v>4</v>
      </c>
      <c r="D13" s="384"/>
      <c r="E13" s="304"/>
    </row>
    <row r="14" spans="1:5" ht="15.75" x14ac:dyDescent="0.25">
      <c r="A14" s="385"/>
      <c r="B14" s="386"/>
      <c r="C14" s="385"/>
      <c r="D14" s="386"/>
      <c r="E14" s="304"/>
    </row>
    <row r="15" spans="1:5" ht="15.75" x14ac:dyDescent="0.25">
      <c r="A15" s="386"/>
      <c r="B15" s="386"/>
      <c r="C15" s="386"/>
      <c r="D15" s="386"/>
      <c r="E15" s="304"/>
    </row>
    <row r="16" spans="1:5" x14ac:dyDescent="0.25">
      <c r="A16" s="386"/>
      <c r="B16" s="386"/>
      <c r="C16" s="386"/>
      <c r="D16" s="386"/>
    </row>
    <row r="17" spans="1:4" x14ac:dyDescent="0.25">
      <c r="A17" s="306"/>
      <c r="B17" s="306"/>
      <c r="C17" s="306"/>
      <c r="D17" s="306"/>
    </row>
  </sheetData>
  <mergeCells count="25">
    <mergeCell ref="A15:B15"/>
    <mergeCell ref="C15:D15"/>
    <mergeCell ref="A16:B16"/>
    <mergeCell ref="C16:D16"/>
    <mergeCell ref="C14:D14"/>
    <mergeCell ref="A13:B13"/>
    <mergeCell ref="C13:D13"/>
    <mergeCell ref="A14:B14"/>
    <mergeCell ref="A7:B7"/>
    <mergeCell ref="C7:D7"/>
    <mergeCell ref="A8:B8"/>
    <mergeCell ref="C8:D8"/>
    <mergeCell ref="C12:D12"/>
    <mergeCell ref="A10:B10"/>
    <mergeCell ref="C10:D10"/>
    <mergeCell ref="A11:B11"/>
    <mergeCell ref="C11:D11"/>
    <mergeCell ref="A12:B12"/>
    <mergeCell ref="A6:B6"/>
    <mergeCell ref="C6:D6"/>
    <mergeCell ref="A1:D1"/>
    <mergeCell ref="A4:B4"/>
    <mergeCell ref="C4:D4"/>
    <mergeCell ref="A5:B5"/>
    <mergeCell ref="C5:D5"/>
  </mergeCells>
  <pageMargins left="0.70866141732283472" right="0.70866141732283472" top="1.1417322834645669" bottom="0.74803149606299213" header="0.31496062992125984" footer="0.31496062992125984"/>
  <pageSetup paperSize="9" scale="107"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tabColor theme="7" tint="0.39997558519241921"/>
    <pageSetUpPr fitToPage="1"/>
  </sheetPr>
  <dimension ref="A3:R13"/>
  <sheetViews>
    <sheetView topLeftCell="A3" zoomScale="115" zoomScaleNormal="115" zoomScaleSheetLayoutView="48" workbookViewId="0">
      <selection activeCell="B5" sqref="B5"/>
    </sheetView>
  </sheetViews>
  <sheetFormatPr baseColWidth="10" defaultRowHeight="15" x14ac:dyDescent="0.25"/>
  <cols>
    <col min="1" max="1" width="14.125" style="137" customWidth="1"/>
    <col min="2" max="2" width="5.875" style="126" bestFit="1" customWidth="1"/>
    <col min="3" max="3" width="8.625" style="126" bestFit="1" customWidth="1"/>
    <col min="4" max="4" width="7.5" style="126" bestFit="1" customWidth="1"/>
    <col min="5" max="5" width="9.5" style="126" customWidth="1"/>
    <col min="6" max="6" width="9.5" style="126" bestFit="1" customWidth="1"/>
    <col min="7" max="7" width="9" style="126" bestFit="1" customWidth="1"/>
    <col min="8" max="8" width="9.5" style="126" bestFit="1" customWidth="1"/>
    <col min="9" max="9" width="7.375" style="126" bestFit="1" customWidth="1"/>
    <col min="10" max="10" width="8.75" style="126" customWidth="1"/>
    <col min="11" max="11" width="7.375" style="126" customWidth="1"/>
    <col min="12" max="12" width="8.125" style="126" customWidth="1"/>
    <col min="13" max="13" width="7.5" style="126" bestFit="1" customWidth="1"/>
    <col min="14" max="16384" width="11" style="126"/>
  </cols>
  <sheetData>
    <row r="3" spans="1:18" ht="23.25" x14ac:dyDescent="0.35">
      <c r="A3" s="392" t="s">
        <v>190</v>
      </c>
      <c r="B3" s="392"/>
      <c r="C3" s="392"/>
      <c r="D3" s="392"/>
      <c r="E3" s="392"/>
      <c r="F3" s="392"/>
      <c r="G3" s="392"/>
      <c r="H3" s="392"/>
      <c r="I3" s="392"/>
      <c r="J3" s="392"/>
      <c r="K3" s="392"/>
      <c r="L3" s="392"/>
      <c r="M3" s="392"/>
    </row>
    <row r="5" spans="1:18" s="132" customFormat="1" ht="38.25" customHeight="1" x14ac:dyDescent="0.2">
      <c r="A5" s="127" t="s">
        <v>191</v>
      </c>
      <c r="B5" s="128" t="s">
        <v>192</v>
      </c>
      <c r="C5" s="129" t="s">
        <v>193</v>
      </c>
      <c r="D5" s="130" t="s">
        <v>194</v>
      </c>
      <c r="E5" s="127" t="s">
        <v>195</v>
      </c>
      <c r="F5" s="127" t="s">
        <v>196</v>
      </c>
      <c r="G5" s="127" t="s">
        <v>197</v>
      </c>
      <c r="H5" s="127" t="s">
        <v>198</v>
      </c>
      <c r="I5" s="127" t="s">
        <v>199</v>
      </c>
      <c r="J5" s="127" t="s">
        <v>200</v>
      </c>
      <c r="K5" s="131" t="s">
        <v>201</v>
      </c>
      <c r="L5" s="127" t="s">
        <v>202</v>
      </c>
      <c r="M5" s="131" t="s">
        <v>203</v>
      </c>
    </row>
    <row r="6" spans="1:18" ht="21" customHeight="1" x14ac:dyDescent="0.25">
      <c r="A6" s="133" t="s">
        <v>204</v>
      </c>
      <c r="B6" s="134"/>
      <c r="C6" s="135" t="s">
        <v>205</v>
      </c>
      <c r="D6" s="134"/>
      <c r="E6" s="134"/>
      <c r="F6" s="136"/>
      <c r="G6" s="134"/>
      <c r="H6" s="134"/>
      <c r="I6" s="134"/>
      <c r="J6" s="134"/>
      <c r="K6" s="136"/>
      <c r="L6" s="136"/>
      <c r="M6" s="136"/>
    </row>
    <row r="7" spans="1:18" ht="23.25" customHeight="1" x14ac:dyDescent="0.25">
      <c r="A7" s="133" t="s">
        <v>206</v>
      </c>
      <c r="B7" s="134"/>
      <c r="C7" s="134"/>
      <c r="D7" s="135" t="s">
        <v>205</v>
      </c>
      <c r="E7" s="134"/>
      <c r="F7" s="136"/>
      <c r="G7" s="134"/>
      <c r="H7" s="134"/>
      <c r="I7" s="136"/>
      <c r="J7" s="136"/>
      <c r="K7" s="134"/>
      <c r="L7" s="136"/>
      <c r="M7" s="136"/>
    </row>
    <row r="8" spans="1:18" ht="27" x14ac:dyDescent="0.25">
      <c r="A8" s="133" t="s">
        <v>207</v>
      </c>
      <c r="B8" s="134"/>
      <c r="C8" s="134"/>
      <c r="D8" s="135" t="s">
        <v>205</v>
      </c>
      <c r="E8" s="134"/>
      <c r="F8" s="136"/>
      <c r="G8" s="134"/>
      <c r="H8" s="134"/>
      <c r="I8" s="134"/>
      <c r="J8" s="136"/>
      <c r="K8" s="134"/>
      <c r="L8" s="136"/>
      <c r="M8" s="136"/>
      <c r="R8" s="126">
        <v>0</v>
      </c>
    </row>
    <row r="9" spans="1:18" ht="21.75" customHeight="1" x14ac:dyDescent="0.25">
      <c r="A9" s="133" t="s">
        <v>208</v>
      </c>
      <c r="B9" s="134"/>
      <c r="C9" s="134"/>
      <c r="D9" s="135" t="s">
        <v>205</v>
      </c>
      <c r="E9" s="134"/>
      <c r="F9" s="136"/>
      <c r="G9" s="134"/>
      <c r="H9" s="134"/>
      <c r="I9" s="134"/>
      <c r="J9" s="136"/>
      <c r="K9" s="134"/>
      <c r="L9" s="136"/>
      <c r="M9" s="136"/>
    </row>
    <row r="10" spans="1:18" ht="18" x14ac:dyDescent="0.25">
      <c r="A10" s="133" t="s">
        <v>209</v>
      </c>
      <c r="B10" s="134"/>
      <c r="C10" s="135" t="s">
        <v>205</v>
      </c>
      <c r="D10" s="134"/>
      <c r="E10" s="134"/>
      <c r="F10" s="135"/>
      <c r="G10" s="134"/>
      <c r="H10" s="134"/>
      <c r="I10" s="134"/>
      <c r="J10" s="134"/>
      <c r="K10" s="134"/>
      <c r="L10" s="136"/>
      <c r="M10" s="135"/>
    </row>
    <row r="11" spans="1:18" ht="45" x14ac:dyDescent="0.25">
      <c r="A11" s="133" t="s">
        <v>210</v>
      </c>
      <c r="B11" s="134"/>
      <c r="C11" s="135" t="s">
        <v>205</v>
      </c>
      <c r="D11" s="134"/>
      <c r="E11" s="134"/>
      <c r="F11" s="134"/>
      <c r="G11" s="134"/>
      <c r="H11" s="134"/>
      <c r="I11" s="134"/>
      <c r="J11" s="134"/>
      <c r="K11" s="134"/>
      <c r="L11" s="134"/>
      <c r="M11" s="134"/>
    </row>
    <row r="12" spans="1:18" ht="18" x14ac:dyDescent="0.25">
      <c r="A12" s="133" t="s">
        <v>211</v>
      </c>
      <c r="B12" s="134"/>
      <c r="C12" s="134"/>
      <c r="D12" s="134"/>
      <c r="E12" s="134"/>
      <c r="F12" s="136"/>
      <c r="G12" s="136"/>
      <c r="H12" s="134"/>
      <c r="I12" s="134"/>
      <c r="J12" s="134"/>
      <c r="K12" s="134"/>
      <c r="L12" s="136"/>
      <c r="M12" s="136"/>
    </row>
    <row r="13" spans="1:18" ht="18" x14ac:dyDescent="0.25">
      <c r="A13" s="133" t="s">
        <v>212</v>
      </c>
      <c r="B13" s="135" t="s">
        <v>205</v>
      </c>
      <c r="C13" s="134"/>
      <c r="D13" s="134"/>
      <c r="E13" s="134"/>
      <c r="F13" s="136"/>
      <c r="G13" s="134"/>
      <c r="H13" s="136"/>
      <c r="I13" s="134"/>
      <c r="J13" s="134"/>
      <c r="K13" s="134"/>
      <c r="L13" s="136"/>
      <c r="M13" s="136"/>
    </row>
  </sheetData>
  <mergeCells count="1">
    <mergeCell ref="A3:M3"/>
  </mergeCells>
  <pageMargins left="0.75" right="0.19685039370078741" top="1.25" bottom="0.74803149606299213" header="0.31496062992125984" footer="0.31496062992125984"/>
  <pageSetup fitToWidth="0"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65894-A855-4AFC-B3A0-184E17DCDDAA}">
  <sheetPr codeName="Hoja1"/>
  <dimension ref="A1:G30"/>
  <sheetViews>
    <sheetView workbookViewId="0">
      <selection activeCell="A13" sqref="A13"/>
    </sheetView>
  </sheetViews>
  <sheetFormatPr baseColWidth="10" defaultRowHeight="15" x14ac:dyDescent="0.25"/>
  <cols>
    <col min="1" max="1" width="4.375" style="215" customWidth="1"/>
    <col min="2" max="2" width="14.125" style="215" customWidth="1"/>
    <col min="3" max="3" width="19.125" style="215" customWidth="1"/>
    <col min="4" max="4" width="28.75" style="215" customWidth="1"/>
    <col min="5" max="16384" width="11" style="215"/>
  </cols>
  <sheetData>
    <row r="1" spans="1:7" ht="30.6" customHeight="1" thickBot="1" x14ac:dyDescent="0.3">
      <c r="A1" s="211" t="s">
        <v>129</v>
      </c>
      <c r="B1" s="212" t="s">
        <v>279</v>
      </c>
      <c r="C1" s="213" t="s">
        <v>280</v>
      </c>
      <c r="D1" s="211" t="s">
        <v>281</v>
      </c>
      <c r="E1" s="214" t="s">
        <v>282</v>
      </c>
    </row>
    <row r="2" spans="1:7" ht="15" customHeight="1" x14ac:dyDescent="0.25">
      <c r="A2" s="216">
        <v>1</v>
      </c>
      <c r="B2" s="217" t="s">
        <v>283</v>
      </c>
      <c r="C2" s="217" t="s">
        <v>284</v>
      </c>
      <c r="D2" s="218">
        <v>100000</v>
      </c>
      <c r="E2" s="219">
        <f>+D2*6.86</f>
        <v>686000</v>
      </c>
    </row>
    <row r="3" spans="1:7" ht="15" customHeight="1" x14ac:dyDescent="0.25">
      <c r="A3" s="220">
        <v>2</v>
      </c>
      <c r="B3" s="221" t="s">
        <v>283</v>
      </c>
      <c r="C3" s="221" t="s">
        <v>285</v>
      </c>
      <c r="D3" s="222">
        <v>100000</v>
      </c>
      <c r="E3" s="219">
        <f t="shared" ref="E3:E30" si="0">+D3*6.86</f>
        <v>686000</v>
      </c>
    </row>
    <row r="4" spans="1:7" ht="15" customHeight="1" x14ac:dyDescent="0.25">
      <c r="A4" s="220">
        <v>3</v>
      </c>
      <c r="B4" s="221" t="s">
        <v>283</v>
      </c>
      <c r="C4" s="221" t="s">
        <v>286</v>
      </c>
      <c r="D4" s="222">
        <v>100000</v>
      </c>
      <c r="E4" s="219">
        <f t="shared" si="0"/>
        <v>686000</v>
      </c>
    </row>
    <row r="5" spans="1:7" ht="15" customHeight="1" x14ac:dyDescent="0.25">
      <c r="A5" s="220">
        <v>4</v>
      </c>
      <c r="B5" s="221" t="s">
        <v>283</v>
      </c>
      <c r="C5" s="221" t="s">
        <v>287</v>
      </c>
      <c r="D5" s="222">
        <v>60000</v>
      </c>
      <c r="E5" s="219">
        <f t="shared" si="0"/>
        <v>411600</v>
      </c>
    </row>
    <row r="6" spans="1:7" ht="15" customHeight="1" x14ac:dyDescent="0.25">
      <c r="A6" s="220">
        <v>5</v>
      </c>
      <c r="B6" s="221" t="s">
        <v>283</v>
      </c>
      <c r="C6" s="221" t="s">
        <v>288</v>
      </c>
      <c r="D6" s="222">
        <v>60000</v>
      </c>
      <c r="E6" s="219">
        <f t="shared" si="0"/>
        <v>411600</v>
      </c>
    </row>
    <row r="7" spans="1:7" ht="15" customHeight="1" x14ac:dyDescent="0.25">
      <c r="A7" s="220">
        <v>6</v>
      </c>
      <c r="B7" s="221" t="s">
        <v>283</v>
      </c>
      <c r="C7" s="221" t="s">
        <v>289</v>
      </c>
      <c r="D7" s="222">
        <v>60000</v>
      </c>
      <c r="E7" s="219">
        <f t="shared" si="0"/>
        <v>411600</v>
      </c>
    </row>
    <row r="8" spans="1:7" ht="15" customHeight="1" x14ac:dyDescent="0.25">
      <c r="A8" s="220">
        <v>7</v>
      </c>
      <c r="B8" s="221" t="s">
        <v>283</v>
      </c>
      <c r="C8" s="221" t="s">
        <v>290</v>
      </c>
      <c r="D8" s="222">
        <v>60000</v>
      </c>
      <c r="E8" s="219">
        <f t="shared" si="0"/>
        <v>411600</v>
      </c>
    </row>
    <row r="9" spans="1:7" ht="15" customHeight="1" x14ac:dyDescent="0.25">
      <c r="A9" s="220">
        <v>8</v>
      </c>
      <c r="B9" s="221" t="s">
        <v>283</v>
      </c>
      <c r="C9" s="223" t="s">
        <v>291</v>
      </c>
      <c r="D9" s="222">
        <v>60000</v>
      </c>
      <c r="E9" s="219">
        <f t="shared" si="0"/>
        <v>411600</v>
      </c>
    </row>
    <row r="10" spans="1:7" ht="15" customHeight="1" x14ac:dyDescent="0.25">
      <c r="A10" s="220">
        <v>9</v>
      </c>
      <c r="B10" s="221" t="s">
        <v>283</v>
      </c>
      <c r="C10" s="223" t="s">
        <v>292</v>
      </c>
      <c r="D10" s="222">
        <v>60000</v>
      </c>
      <c r="E10" s="219">
        <f t="shared" si="0"/>
        <v>411600</v>
      </c>
    </row>
    <row r="11" spans="1:7" ht="15" customHeight="1" x14ac:dyDescent="0.25">
      <c r="A11" s="220">
        <v>10</v>
      </c>
      <c r="B11" s="221" t="s">
        <v>293</v>
      </c>
      <c r="C11" s="221" t="s">
        <v>294</v>
      </c>
      <c r="D11" s="222">
        <v>60000</v>
      </c>
      <c r="E11" s="219">
        <f t="shared" si="0"/>
        <v>411600</v>
      </c>
    </row>
    <row r="12" spans="1:7" ht="15" customHeight="1" x14ac:dyDescent="0.25">
      <c r="A12" s="220">
        <v>11</v>
      </c>
      <c r="B12" s="221" t="s">
        <v>293</v>
      </c>
      <c r="C12" s="221" t="s">
        <v>295</v>
      </c>
      <c r="D12" s="222">
        <v>60000</v>
      </c>
      <c r="E12" s="219">
        <f t="shared" si="0"/>
        <v>411600</v>
      </c>
    </row>
    <row r="13" spans="1:7" ht="15" customHeight="1" x14ac:dyDescent="0.25">
      <c r="A13" s="220">
        <v>12</v>
      </c>
      <c r="B13" s="221" t="s">
        <v>296</v>
      </c>
      <c r="C13" s="221" t="s">
        <v>296</v>
      </c>
      <c r="D13" s="222">
        <v>60000</v>
      </c>
      <c r="E13" s="219">
        <f t="shared" si="0"/>
        <v>411600</v>
      </c>
    </row>
    <row r="14" spans="1:7" ht="15" customHeight="1" x14ac:dyDescent="0.25">
      <c r="A14" s="220">
        <v>13</v>
      </c>
      <c r="B14" s="221" t="s">
        <v>297</v>
      </c>
      <c r="C14" s="221" t="s">
        <v>297</v>
      </c>
      <c r="D14" s="222">
        <v>60000</v>
      </c>
      <c r="E14" s="219">
        <f t="shared" si="0"/>
        <v>411600</v>
      </c>
      <c r="F14" s="219"/>
    </row>
    <row r="15" spans="1:7" ht="15" customHeight="1" x14ac:dyDescent="0.25">
      <c r="A15" s="220">
        <v>14</v>
      </c>
      <c r="B15" s="221" t="s">
        <v>298</v>
      </c>
      <c r="C15" s="221" t="s">
        <v>298</v>
      </c>
      <c r="D15" s="222">
        <v>100000</v>
      </c>
      <c r="E15" s="219">
        <f t="shared" si="0"/>
        <v>686000</v>
      </c>
      <c r="G15" s="224"/>
    </row>
    <row r="16" spans="1:7" ht="15" customHeight="1" x14ac:dyDescent="0.25">
      <c r="A16" s="220">
        <v>15</v>
      </c>
      <c r="B16" s="221" t="s">
        <v>298</v>
      </c>
      <c r="C16" s="221" t="s">
        <v>299</v>
      </c>
      <c r="D16" s="222">
        <v>80000</v>
      </c>
      <c r="E16" s="219">
        <f t="shared" si="0"/>
        <v>548800</v>
      </c>
    </row>
    <row r="17" spans="1:6" ht="15" customHeight="1" x14ac:dyDescent="0.25">
      <c r="A17" s="220">
        <v>16</v>
      </c>
      <c r="B17" s="221" t="s">
        <v>298</v>
      </c>
      <c r="C17" s="221" t="s">
        <v>300</v>
      </c>
      <c r="D17" s="222">
        <v>60000</v>
      </c>
      <c r="E17" s="219">
        <f t="shared" si="0"/>
        <v>411600</v>
      </c>
    </row>
    <row r="18" spans="1:6" ht="15" customHeight="1" x14ac:dyDescent="0.25">
      <c r="A18" s="220">
        <v>17</v>
      </c>
      <c r="B18" s="221" t="s">
        <v>301</v>
      </c>
      <c r="C18" s="221" t="s">
        <v>301</v>
      </c>
      <c r="D18" s="222">
        <v>70000</v>
      </c>
      <c r="E18" s="219">
        <f t="shared" si="0"/>
        <v>480200</v>
      </c>
      <c r="F18" s="219"/>
    </row>
    <row r="19" spans="1:6" ht="15" customHeight="1" x14ac:dyDescent="0.25">
      <c r="A19" s="220">
        <v>18</v>
      </c>
      <c r="B19" s="221" t="s">
        <v>301</v>
      </c>
      <c r="C19" s="221" t="s">
        <v>302</v>
      </c>
      <c r="D19" s="222">
        <v>80000</v>
      </c>
      <c r="E19" s="219">
        <f t="shared" si="0"/>
        <v>548800</v>
      </c>
    </row>
    <row r="20" spans="1:6" ht="15" customHeight="1" x14ac:dyDescent="0.25">
      <c r="A20" s="220">
        <v>19</v>
      </c>
      <c r="B20" s="221" t="s">
        <v>303</v>
      </c>
      <c r="C20" s="221" t="s">
        <v>303</v>
      </c>
      <c r="D20" s="222">
        <v>60000</v>
      </c>
      <c r="E20" s="219">
        <f t="shared" si="0"/>
        <v>411600</v>
      </c>
    </row>
    <row r="21" spans="1:6" ht="15" customHeight="1" x14ac:dyDescent="0.25">
      <c r="A21" s="220">
        <v>20</v>
      </c>
      <c r="B21" s="221" t="s">
        <v>304</v>
      </c>
      <c r="C21" s="223" t="s">
        <v>304</v>
      </c>
      <c r="D21" s="222">
        <v>100000</v>
      </c>
      <c r="E21" s="219">
        <f t="shared" si="0"/>
        <v>686000</v>
      </c>
    </row>
    <row r="22" spans="1:6" ht="15" customHeight="1" x14ac:dyDescent="0.25">
      <c r="A22" s="220">
        <v>21</v>
      </c>
      <c r="B22" s="221" t="s">
        <v>304</v>
      </c>
      <c r="C22" s="223" t="s">
        <v>305</v>
      </c>
      <c r="D22" s="222">
        <v>80000</v>
      </c>
      <c r="E22" s="219">
        <f t="shared" si="0"/>
        <v>548800</v>
      </c>
    </row>
    <row r="23" spans="1:6" ht="15" customHeight="1" x14ac:dyDescent="0.25">
      <c r="A23" s="220">
        <v>22</v>
      </c>
      <c r="B23" s="221" t="s">
        <v>304</v>
      </c>
      <c r="C23" s="221" t="s">
        <v>306</v>
      </c>
      <c r="D23" s="222">
        <v>80000</v>
      </c>
      <c r="E23" s="219">
        <f t="shared" si="0"/>
        <v>548800</v>
      </c>
    </row>
    <row r="24" spans="1:6" ht="15" customHeight="1" x14ac:dyDescent="0.25">
      <c r="A24" s="220">
        <v>23</v>
      </c>
      <c r="B24" s="221" t="s">
        <v>304</v>
      </c>
      <c r="C24" s="221" t="s">
        <v>307</v>
      </c>
      <c r="D24" s="222">
        <v>60000</v>
      </c>
      <c r="E24" s="219">
        <f t="shared" si="0"/>
        <v>411600</v>
      </c>
    </row>
    <row r="25" spans="1:6" ht="15" customHeight="1" x14ac:dyDescent="0.25">
      <c r="A25" s="220">
        <v>24</v>
      </c>
      <c r="B25" s="221" t="s">
        <v>304</v>
      </c>
      <c r="C25" s="221" t="s">
        <v>308</v>
      </c>
      <c r="D25" s="222">
        <v>60000</v>
      </c>
      <c r="E25" s="219">
        <f t="shared" si="0"/>
        <v>411600</v>
      </c>
    </row>
    <row r="26" spans="1:6" ht="15" customHeight="1" x14ac:dyDescent="0.25">
      <c r="A26" s="220">
        <v>25</v>
      </c>
      <c r="B26" s="221" t="s">
        <v>304</v>
      </c>
      <c r="C26" s="221" t="s">
        <v>309</v>
      </c>
      <c r="D26" s="222">
        <v>60000</v>
      </c>
      <c r="E26" s="219">
        <f t="shared" si="0"/>
        <v>411600</v>
      </c>
    </row>
    <row r="27" spans="1:6" ht="15" customHeight="1" x14ac:dyDescent="0.25">
      <c r="A27" s="220">
        <v>26</v>
      </c>
      <c r="B27" s="221" t="s">
        <v>304</v>
      </c>
      <c r="C27" s="221" t="s">
        <v>310</v>
      </c>
      <c r="D27" s="222">
        <v>60000</v>
      </c>
      <c r="E27" s="219">
        <f t="shared" si="0"/>
        <v>411600</v>
      </c>
    </row>
    <row r="28" spans="1:6" ht="15" customHeight="1" x14ac:dyDescent="0.25">
      <c r="A28" s="220">
        <v>27</v>
      </c>
      <c r="B28" s="221" t="s">
        <v>304</v>
      </c>
      <c r="C28" s="221" t="s">
        <v>311</v>
      </c>
      <c r="D28" s="222">
        <v>60000</v>
      </c>
      <c r="E28" s="219">
        <f t="shared" si="0"/>
        <v>411600</v>
      </c>
    </row>
    <row r="29" spans="1:6" ht="15" customHeight="1" x14ac:dyDescent="0.25">
      <c r="A29" s="220">
        <v>28</v>
      </c>
      <c r="B29" s="221" t="s">
        <v>312</v>
      </c>
      <c r="C29" s="221" t="s">
        <v>313</v>
      </c>
      <c r="D29" s="222">
        <v>60000</v>
      </c>
      <c r="E29" s="219">
        <f t="shared" si="0"/>
        <v>411600</v>
      </c>
    </row>
    <row r="30" spans="1:6" ht="15" customHeight="1" thickBot="1" x14ac:dyDescent="0.3">
      <c r="A30" s="225">
        <v>29</v>
      </c>
      <c r="B30" s="226" t="s">
        <v>314</v>
      </c>
      <c r="C30" s="226" t="s">
        <v>315</v>
      </c>
      <c r="D30" s="227">
        <v>80000</v>
      </c>
      <c r="E30" s="219">
        <f t="shared" si="0"/>
        <v>548800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0"/>
  <dimension ref="A1:G56"/>
  <sheetViews>
    <sheetView topLeftCell="A4" zoomScaleNormal="100" workbookViewId="0">
      <selection activeCell="C2" sqref="C2:D2"/>
    </sheetView>
  </sheetViews>
  <sheetFormatPr baseColWidth="10" defaultRowHeight="14.25" x14ac:dyDescent="0.2"/>
  <cols>
    <col min="1" max="1" width="3.875" customWidth="1"/>
    <col min="2" max="2" width="5.125" customWidth="1"/>
    <col min="3" max="3" width="11.75" customWidth="1"/>
    <col min="4" max="4" width="12.25" customWidth="1"/>
  </cols>
  <sheetData>
    <row r="1" spans="1:4" x14ac:dyDescent="0.2">
      <c r="A1" s="400" t="s">
        <v>213</v>
      </c>
      <c r="B1" s="400"/>
      <c r="C1" s="400"/>
      <c r="D1" s="400"/>
    </row>
    <row r="2" spans="1:4" x14ac:dyDescent="0.2">
      <c r="A2" s="401" t="s">
        <v>214</v>
      </c>
      <c r="B2" s="401"/>
      <c r="C2" s="402"/>
      <c r="D2" s="402"/>
    </row>
    <row r="3" spans="1:4" x14ac:dyDescent="0.2">
      <c r="A3" s="403" t="s">
        <v>172</v>
      </c>
      <c r="B3" s="403"/>
      <c r="C3" s="404"/>
      <c r="D3" s="404"/>
    </row>
    <row r="4" spans="1:4" ht="2.25" customHeight="1" x14ac:dyDescent="0.2">
      <c r="A4" s="138"/>
      <c r="B4" s="138"/>
      <c r="C4" s="139"/>
      <c r="D4" s="139"/>
    </row>
    <row r="5" spans="1:4" ht="11.25" customHeight="1" x14ac:dyDescent="0.2">
      <c r="A5" s="405" t="s">
        <v>215</v>
      </c>
      <c r="B5" s="405"/>
      <c r="C5" s="405"/>
      <c r="D5" s="406"/>
    </row>
    <row r="6" spans="1:4" ht="11.25" customHeight="1" x14ac:dyDescent="0.2">
      <c r="A6" s="407" t="s">
        <v>216</v>
      </c>
      <c r="B6" s="407"/>
      <c r="C6" s="407"/>
      <c r="D6" s="407"/>
    </row>
    <row r="7" spans="1:4" ht="9.75" customHeight="1" x14ac:dyDescent="0.2">
      <c r="A7" s="405" t="s">
        <v>156</v>
      </c>
      <c r="B7" s="405"/>
      <c r="C7" s="140" t="s">
        <v>157</v>
      </c>
      <c r="D7" s="140" t="s">
        <v>158</v>
      </c>
    </row>
    <row r="8" spans="1:4" x14ac:dyDescent="0.2">
      <c r="A8" s="142" t="s">
        <v>159</v>
      </c>
      <c r="B8" s="143">
        <v>0.1</v>
      </c>
      <c r="C8" s="144">
        <v>55</v>
      </c>
      <c r="D8" s="145">
        <f t="shared" ref="D8:D18" si="0">B8*C8</f>
        <v>5.5</v>
      </c>
    </row>
    <row r="9" spans="1:4" x14ac:dyDescent="0.2">
      <c r="A9" s="142" t="s">
        <v>159</v>
      </c>
      <c r="B9" s="143">
        <v>0.2</v>
      </c>
      <c r="C9" s="144">
        <v>108</v>
      </c>
      <c r="D9" s="145">
        <f t="shared" si="0"/>
        <v>21.6</v>
      </c>
    </row>
    <row r="10" spans="1:4" x14ac:dyDescent="0.2">
      <c r="A10" s="142" t="s">
        <v>159</v>
      </c>
      <c r="B10" s="143">
        <v>0.5</v>
      </c>
      <c r="C10" s="144">
        <v>60</v>
      </c>
      <c r="D10" s="145">
        <f t="shared" si="0"/>
        <v>30</v>
      </c>
    </row>
    <row r="11" spans="1:4" x14ac:dyDescent="0.2">
      <c r="A11" s="142" t="s">
        <v>159</v>
      </c>
      <c r="B11" s="143">
        <v>1</v>
      </c>
      <c r="C11" s="144">
        <v>237</v>
      </c>
      <c r="D11" s="145">
        <f t="shared" si="0"/>
        <v>237</v>
      </c>
    </row>
    <row r="12" spans="1:4" x14ac:dyDescent="0.2">
      <c r="A12" s="142" t="s">
        <v>159</v>
      </c>
      <c r="B12" s="143">
        <v>2</v>
      </c>
      <c r="C12" s="144">
        <v>0</v>
      </c>
      <c r="D12" s="145">
        <f t="shared" si="0"/>
        <v>0</v>
      </c>
    </row>
    <row r="13" spans="1:4" x14ac:dyDescent="0.2">
      <c r="A13" s="142" t="s">
        <v>159</v>
      </c>
      <c r="B13" s="143">
        <v>5</v>
      </c>
      <c r="C13" s="144">
        <v>15</v>
      </c>
      <c r="D13" s="145">
        <f t="shared" si="0"/>
        <v>75</v>
      </c>
    </row>
    <row r="14" spans="1:4" x14ac:dyDescent="0.2">
      <c r="A14" s="142" t="s">
        <v>159</v>
      </c>
      <c r="B14" s="143">
        <v>10</v>
      </c>
      <c r="C14" s="144">
        <v>45</v>
      </c>
      <c r="D14" s="145">
        <f t="shared" si="0"/>
        <v>450</v>
      </c>
    </row>
    <row r="15" spans="1:4" x14ac:dyDescent="0.2">
      <c r="A15" s="142" t="s">
        <v>159</v>
      </c>
      <c r="B15" s="143">
        <v>20</v>
      </c>
      <c r="C15" s="144">
        <v>161</v>
      </c>
      <c r="D15" s="145">
        <f t="shared" si="0"/>
        <v>3220</v>
      </c>
    </row>
    <row r="16" spans="1:4" x14ac:dyDescent="0.2">
      <c r="A16" s="142" t="s">
        <v>159</v>
      </c>
      <c r="B16" s="143">
        <v>50</v>
      </c>
      <c r="C16" s="144">
        <v>85</v>
      </c>
      <c r="D16" s="145">
        <f t="shared" si="0"/>
        <v>4250</v>
      </c>
    </row>
    <row r="17" spans="1:4" x14ac:dyDescent="0.2">
      <c r="A17" s="142" t="s">
        <v>159</v>
      </c>
      <c r="B17" s="143">
        <v>100</v>
      </c>
      <c r="C17" s="144">
        <v>204</v>
      </c>
      <c r="D17" s="145">
        <f t="shared" si="0"/>
        <v>20400</v>
      </c>
    </row>
    <row r="18" spans="1:4" x14ac:dyDescent="0.2">
      <c r="A18" s="146" t="s">
        <v>159</v>
      </c>
      <c r="B18" s="147">
        <v>200</v>
      </c>
      <c r="C18" s="148">
        <v>108</v>
      </c>
      <c r="D18" s="149">
        <f t="shared" si="0"/>
        <v>21600</v>
      </c>
    </row>
    <row r="19" spans="1:4" ht="13.5" customHeight="1" x14ac:dyDescent="0.2">
      <c r="A19" s="396" t="s">
        <v>217</v>
      </c>
      <c r="B19" s="396"/>
      <c r="C19" s="396"/>
      <c r="D19" s="150">
        <f>SUM(D8:D18)</f>
        <v>50289.1</v>
      </c>
    </row>
    <row r="20" spans="1:4" x14ac:dyDescent="0.2">
      <c r="A20" s="151" t="s">
        <v>166</v>
      </c>
      <c r="B20" s="152">
        <v>1</v>
      </c>
      <c r="C20" s="153">
        <v>0</v>
      </c>
      <c r="D20" s="154">
        <f t="shared" ref="D20:D25" si="1">B20*C20</f>
        <v>0</v>
      </c>
    </row>
    <row r="21" spans="1:4" x14ac:dyDescent="0.2">
      <c r="A21" s="142" t="s">
        <v>166</v>
      </c>
      <c r="B21" s="143">
        <v>5</v>
      </c>
      <c r="C21" s="144">
        <v>0</v>
      </c>
      <c r="D21" s="145">
        <f t="shared" si="1"/>
        <v>0</v>
      </c>
    </row>
    <row r="22" spans="1:4" x14ac:dyDescent="0.2">
      <c r="A22" s="142" t="s">
        <v>166</v>
      </c>
      <c r="B22" s="143">
        <v>20</v>
      </c>
      <c r="C22" s="144">
        <v>0</v>
      </c>
      <c r="D22" s="145">
        <f t="shared" si="1"/>
        <v>0</v>
      </c>
    </row>
    <row r="23" spans="1:4" x14ac:dyDescent="0.2">
      <c r="A23" s="142" t="s">
        <v>166</v>
      </c>
      <c r="B23" s="143">
        <v>50</v>
      </c>
      <c r="C23" s="144">
        <v>0</v>
      </c>
      <c r="D23" s="145">
        <f t="shared" si="1"/>
        <v>0</v>
      </c>
    </row>
    <row r="24" spans="1:4" x14ac:dyDescent="0.2">
      <c r="A24" s="142" t="s">
        <v>166</v>
      </c>
      <c r="B24" s="143">
        <v>100</v>
      </c>
      <c r="C24" s="144">
        <v>0</v>
      </c>
      <c r="D24" s="145">
        <f t="shared" si="1"/>
        <v>0</v>
      </c>
    </row>
    <row r="25" spans="1:4" x14ac:dyDescent="0.2">
      <c r="A25" s="146" t="s">
        <v>166</v>
      </c>
      <c r="B25" s="147">
        <v>200</v>
      </c>
      <c r="C25" s="148">
        <v>0</v>
      </c>
      <c r="D25" s="149">
        <f t="shared" si="1"/>
        <v>0</v>
      </c>
    </row>
    <row r="26" spans="1:4" x14ac:dyDescent="0.2">
      <c r="A26" s="396" t="s">
        <v>218</v>
      </c>
      <c r="B26" s="396"/>
      <c r="C26" s="396"/>
      <c r="D26" s="150">
        <f>SUM(D20:D25)</f>
        <v>0</v>
      </c>
    </row>
    <row r="27" spans="1:4" ht="21" customHeight="1" x14ac:dyDescent="0.2">
      <c r="A27" s="397" t="s">
        <v>219</v>
      </c>
      <c r="B27" s="397"/>
      <c r="C27" s="397"/>
      <c r="D27" s="150">
        <f>D19+(D26*6.86)</f>
        <v>50289.1</v>
      </c>
    </row>
    <row r="28" spans="1:4" x14ac:dyDescent="0.2">
      <c r="A28" s="398" t="s">
        <v>220</v>
      </c>
      <c r="B28" s="398"/>
      <c r="C28" s="398"/>
      <c r="D28" s="398"/>
    </row>
    <row r="29" spans="1:4" x14ac:dyDescent="0.2">
      <c r="A29" s="395" t="s">
        <v>156</v>
      </c>
      <c r="B29" s="395"/>
      <c r="C29" s="155" t="s">
        <v>157</v>
      </c>
      <c r="D29" s="155" t="s">
        <v>158</v>
      </c>
    </row>
    <row r="30" spans="1:4" x14ac:dyDescent="0.2">
      <c r="A30" s="156" t="s">
        <v>159</v>
      </c>
      <c r="B30" s="157">
        <v>0.1</v>
      </c>
      <c r="C30" s="158">
        <v>0</v>
      </c>
      <c r="D30" s="159">
        <f t="shared" ref="D30:D40" si="2">B30*C30</f>
        <v>0</v>
      </c>
    </row>
    <row r="31" spans="1:4" x14ac:dyDescent="0.2">
      <c r="A31" s="142" t="s">
        <v>159</v>
      </c>
      <c r="B31" s="143">
        <v>0.2</v>
      </c>
      <c r="C31" s="144">
        <v>0</v>
      </c>
      <c r="D31" s="145">
        <f t="shared" si="2"/>
        <v>0</v>
      </c>
    </row>
    <row r="32" spans="1:4" x14ac:dyDescent="0.2">
      <c r="A32" s="142" t="s">
        <v>159</v>
      </c>
      <c r="B32" s="143">
        <v>0.5</v>
      </c>
      <c r="C32" s="144">
        <v>0</v>
      </c>
      <c r="D32" s="145">
        <f t="shared" si="2"/>
        <v>0</v>
      </c>
    </row>
    <row r="33" spans="1:4" x14ac:dyDescent="0.2">
      <c r="A33" s="142" t="s">
        <v>159</v>
      </c>
      <c r="B33" s="143">
        <v>1</v>
      </c>
      <c r="C33" s="144">
        <v>0</v>
      </c>
      <c r="D33" s="145">
        <f t="shared" si="2"/>
        <v>0</v>
      </c>
    </row>
    <row r="34" spans="1:4" x14ac:dyDescent="0.2">
      <c r="A34" s="142" t="s">
        <v>159</v>
      </c>
      <c r="B34" s="143">
        <v>2</v>
      </c>
      <c r="C34" s="144">
        <v>0</v>
      </c>
      <c r="D34" s="145">
        <f t="shared" si="2"/>
        <v>0</v>
      </c>
    </row>
    <row r="35" spans="1:4" x14ac:dyDescent="0.2">
      <c r="A35" s="142" t="s">
        <v>159</v>
      </c>
      <c r="B35" s="143">
        <v>5</v>
      </c>
      <c r="C35" s="144">
        <v>0</v>
      </c>
      <c r="D35" s="145">
        <f t="shared" si="2"/>
        <v>0</v>
      </c>
    </row>
    <row r="36" spans="1:4" x14ac:dyDescent="0.2">
      <c r="A36" s="142" t="s">
        <v>159</v>
      </c>
      <c r="B36" s="143">
        <v>5</v>
      </c>
      <c r="C36" s="144">
        <v>0</v>
      </c>
      <c r="D36" s="145">
        <f t="shared" ref="D36" si="3">B36*C36</f>
        <v>0</v>
      </c>
    </row>
    <row r="37" spans="1:4" x14ac:dyDescent="0.2">
      <c r="A37" s="142" t="s">
        <v>159</v>
      </c>
      <c r="B37" s="143">
        <v>20</v>
      </c>
      <c r="C37" s="144">
        <v>0</v>
      </c>
      <c r="D37" s="145">
        <f t="shared" si="2"/>
        <v>0</v>
      </c>
    </row>
    <row r="38" spans="1:4" x14ac:dyDescent="0.2">
      <c r="A38" s="142" t="s">
        <v>159</v>
      </c>
      <c r="B38" s="143">
        <v>50</v>
      </c>
      <c r="C38" s="144">
        <v>0</v>
      </c>
      <c r="D38" s="145">
        <f t="shared" si="2"/>
        <v>0</v>
      </c>
    </row>
    <row r="39" spans="1:4" x14ac:dyDescent="0.2">
      <c r="A39" s="142" t="s">
        <v>159</v>
      </c>
      <c r="B39" s="143">
        <v>100</v>
      </c>
      <c r="C39" s="144">
        <v>0</v>
      </c>
      <c r="D39" s="145">
        <f t="shared" si="2"/>
        <v>0</v>
      </c>
    </row>
    <row r="40" spans="1:4" x14ac:dyDescent="0.2">
      <c r="A40" s="146" t="s">
        <v>159</v>
      </c>
      <c r="B40" s="147">
        <v>200</v>
      </c>
      <c r="C40" s="148">
        <v>0</v>
      </c>
      <c r="D40" s="149">
        <f t="shared" si="2"/>
        <v>0</v>
      </c>
    </row>
    <row r="41" spans="1:4" x14ac:dyDescent="0.2">
      <c r="A41" s="396" t="s">
        <v>217</v>
      </c>
      <c r="B41" s="396"/>
      <c r="C41" s="396"/>
      <c r="D41" s="160">
        <f>SUM(D30:D40)</f>
        <v>0</v>
      </c>
    </row>
    <row r="42" spans="1:4" x14ac:dyDescent="0.2">
      <c r="A42" s="151" t="s">
        <v>166</v>
      </c>
      <c r="B42" s="152">
        <v>1</v>
      </c>
      <c r="C42" s="153">
        <v>0</v>
      </c>
      <c r="D42" s="154">
        <f t="shared" ref="D42:D47" si="4">B42*C42</f>
        <v>0</v>
      </c>
    </row>
    <row r="43" spans="1:4" x14ac:dyDescent="0.2">
      <c r="A43" s="142" t="s">
        <v>166</v>
      </c>
      <c r="B43" s="143">
        <v>5</v>
      </c>
      <c r="C43" s="144">
        <v>0</v>
      </c>
      <c r="D43" s="145">
        <f t="shared" si="4"/>
        <v>0</v>
      </c>
    </row>
    <row r="44" spans="1:4" x14ac:dyDescent="0.2">
      <c r="A44" s="142" t="s">
        <v>166</v>
      </c>
      <c r="B44" s="143">
        <v>20</v>
      </c>
      <c r="C44" s="144">
        <v>0</v>
      </c>
      <c r="D44" s="145">
        <f t="shared" si="4"/>
        <v>0</v>
      </c>
    </row>
    <row r="45" spans="1:4" x14ac:dyDescent="0.2">
      <c r="A45" s="142" t="s">
        <v>166</v>
      </c>
      <c r="B45" s="143">
        <v>50</v>
      </c>
      <c r="C45" s="144">
        <v>0</v>
      </c>
      <c r="D45" s="145">
        <f t="shared" si="4"/>
        <v>0</v>
      </c>
    </row>
    <row r="46" spans="1:4" x14ac:dyDescent="0.2">
      <c r="A46" s="142" t="s">
        <v>166</v>
      </c>
      <c r="B46" s="143">
        <v>100</v>
      </c>
      <c r="C46" s="144">
        <v>0</v>
      </c>
      <c r="D46" s="145">
        <f t="shared" si="4"/>
        <v>0</v>
      </c>
    </row>
    <row r="47" spans="1:4" x14ac:dyDescent="0.2">
      <c r="A47" s="146" t="s">
        <v>166</v>
      </c>
      <c r="B47" s="147">
        <v>200</v>
      </c>
      <c r="C47" s="148">
        <v>0</v>
      </c>
      <c r="D47" s="149">
        <f t="shared" si="4"/>
        <v>0</v>
      </c>
    </row>
    <row r="48" spans="1:4" x14ac:dyDescent="0.2">
      <c r="A48" s="396" t="s">
        <v>218</v>
      </c>
      <c r="B48" s="396"/>
      <c r="C48" s="396"/>
      <c r="D48" s="150">
        <f>SUM(D42:D47)</f>
        <v>0</v>
      </c>
    </row>
    <row r="49" spans="1:7" ht="21" customHeight="1" x14ac:dyDescent="0.2">
      <c r="A49" s="397" t="s">
        <v>221</v>
      </c>
      <c r="B49" s="397"/>
      <c r="C49" s="397"/>
      <c r="D49" s="150">
        <f>D41+(D48*6.86)</f>
        <v>0</v>
      </c>
    </row>
    <row r="50" spans="1:7" ht="12.75" customHeight="1" x14ac:dyDescent="0.2">
      <c r="A50" s="398" t="s">
        <v>222</v>
      </c>
      <c r="B50" s="398"/>
      <c r="C50" s="398"/>
      <c r="D50" s="161">
        <f>+D49+D27</f>
        <v>50289.1</v>
      </c>
      <c r="G50" s="309">
        <v>50289.1</v>
      </c>
    </row>
    <row r="51" spans="1:7" ht="14.25" customHeight="1" x14ac:dyDescent="0.2">
      <c r="A51" s="399">
        <f>IF(D27&gt;35000,D27-35000,"")</f>
        <v>15289.099999999999</v>
      </c>
      <c r="B51" s="399"/>
      <c r="C51" s="399"/>
      <c r="D51" s="399"/>
    </row>
    <row r="52" spans="1:7" x14ac:dyDescent="0.2">
      <c r="A52" s="393" t="str">
        <f>IF(D50&gt;100000,D50-100000,"")</f>
        <v/>
      </c>
      <c r="B52" s="393"/>
      <c r="C52" s="393"/>
      <c r="D52" s="393"/>
    </row>
    <row r="53" spans="1:7" ht="44.25" customHeight="1" x14ac:dyDescent="0.2">
      <c r="A53" s="394" t="s">
        <v>223</v>
      </c>
      <c r="B53" s="394"/>
      <c r="C53" s="394"/>
      <c r="D53" s="394"/>
    </row>
    <row r="56" spans="1:7" ht="48.75" customHeight="1" x14ac:dyDescent="0.2">
      <c r="A56" s="394" t="s">
        <v>224</v>
      </c>
      <c r="B56" s="394"/>
      <c r="C56" s="394"/>
      <c r="D56" s="394"/>
    </row>
  </sheetData>
  <mergeCells count="21">
    <mergeCell ref="A28:D28"/>
    <mergeCell ref="A1:D1"/>
    <mergeCell ref="A2:B2"/>
    <mergeCell ref="C2:D2"/>
    <mergeCell ref="A3:B3"/>
    <mergeCell ref="C3:D3"/>
    <mergeCell ref="A5:D5"/>
    <mergeCell ref="A6:D6"/>
    <mergeCell ref="A7:B7"/>
    <mergeCell ref="A19:C19"/>
    <mergeCell ref="A26:C26"/>
    <mergeCell ref="A27:C27"/>
    <mergeCell ref="A52:D52"/>
    <mergeCell ref="A53:D53"/>
    <mergeCell ref="A56:D56"/>
    <mergeCell ref="A29:B29"/>
    <mergeCell ref="A41:C41"/>
    <mergeCell ref="A48:C48"/>
    <mergeCell ref="A49:C49"/>
    <mergeCell ref="A50:C50"/>
    <mergeCell ref="A51:D51"/>
  </mergeCells>
  <conditionalFormatting sqref="A51:D52">
    <cfRule type="expression" dxfId="3" priority="1">
      <formula>ISNUMBER(A51)</formula>
    </cfRule>
  </conditionalFormatting>
  <pageMargins left="2.7559055118110236" right="0.78740157480314965" top="0.55118110236220474" bottom="0.35433070866141736" header="0.11811023622047245" footer="0.11811023622047245"/>
  <pageSetup paperSize="9" scale="9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0"/>
  <dimension ref="A1:J55"/>
  <sheetViews>
    <sheetView topLeftCell="A18" zoomScale="110" zoomScaleNormal="110" workbookViewId="0">
      <selection activeCell="G18" sqref="G18"/>
    </sheetView>
  </sheetViews>
  <sheetFormatPr baseColWidth="10" defaultRowHeight="14.25" x14ac:dyDescent="0.2"/>
  <cols>
    <col min="1" max="1" width="3.875" customWidth="1"/>
    <col min="2" max="2" width="5.125" customWidth="1"/>
    <col min="3" max="3" width="11.75" customWidth="1"/>
    <col min="4" max="4" width="12.25" customWidth="1"/>
    <col min="5" max="5" width="12.5" customWidth="1"/>
    <col min="6" max="6" width="5.125" customWidth="1"/>
    <col min="7" max="7" width="11.75" customWidth="1"/>
    <col min="8" max="8" width="12.25" customWidth="1"/>
    <col min="10" max="10" width="12.625" bestFit="1" customWidth="1"/>
  </cols>
  <sheetData>
    <row r="1" spans="1:10" x14ac:dyDescent="0.2">
      <c r="A1" s="400" t="s">
        <v>213</v>
      </c>
      <c r="B1" s="400"/>
      <c r="C1" s="400"/>
      <c r="D1" s="400"/>
      <c r="E1" s="400"/>
      <c r="F1" s="400"/>
      <c r="G1" s="400"/>
      <c r="H1" s="400"/>
    </row>
    <row r="2" spans="1:10" x14ac:dyDescent="0.2">
      <c r="A2" s="401" t="s">
        <v>214</v>
      </c>
      <c r="B2" s="401"/>
      <c r="C2" s="402" t="s">
        <v>287</v>
      </c>
      <c r="D2" s="402"/>
      <c r="E2" s="402"/>
      <c r="F2" s="402"/>
      <c r="G2" s="402"/>
      <c r="H2" s="402"/>
    </row>
    <row r="3" spans="1:10" x14ac:dyDescent="0.2">
      <c r="A3" s="403" t="s">
        <v>172</v>
      </c>
      <c r="B3" s="403"/>
      <c r="C3" s="404">
        <v>45405.623611111114</v>
      </c>
      <c r="D3" s="404"/>
      <c r="E3" s="404"/>
      <c r="F3" s="404"/>
      <c r="G3" s="404"/>
      <c r="H3" s="404"/>
    </row>
    <row r="4" spans="1:10" ht="2.25" customHeight="1" x14ac:dyDescent="0.2">
      <c r="A4" s="138"/>
      <c r="B4" s="138"/>
      <c r="C4" s="139"/>
      <c r="D4" s="139"/>
      <c r="E4" s="139"/>
      <c r="F4" s="139"/>
      <c r="G4" s="139"/>
      <c r="H4" s="139"/>
    </row>
    <row r="5" spans="1:10" ht="11.25" customHeight="1" x14ac:dyDescent="0.2">
      <c r="A5" s="405" t="s">
        <v>215</v>
      </c>
      <c r="B5" s="405"/>
      <c r="C5" s="405"/>
      <c r="D5" s="406"/>
      <c r="E5" s="415" t="s">
        <v>225</v>
      </c>
      <c r="F5" s="405"/>
      <c r="G5" s="405"/>
      <c r="H5" s="405"/>
      <c r="I5" t="s">
        <v>254</v>
      </c>
      <c r="J5" t="s">
        <v>255</v>
      </c>
    </row>
    <row r="6" spans="1:10" ht="11.25" customHeight="1" x14ac:dyDescent="0.2">
      <c r="A6" s="407" t="s">
        <v>216</v>
      </c>
      <c r="B6" s="407"/>
      <c r="C6" s="407"/>
      <c r="D6" s="413"/>
      <c r="E6" s="414" t="s">
        <v>216</v>
      </c>
      <c r="F6" s="407"/>
      <c r="G6" s="407"/>
      <c r="H6" s="407"/>
    </row>
    <row r="7" spans="1:10" ht="9.75" customHeight="1" x14ac:dyDescent="0.2">
      <c r="A7" s="405" t="s">
        <v>156</v>
      </c>
      <c r="B7" s="405"/>
      <c r="C7" s="140" t="s">
        <v>157</v>
      </c>
      <c r="D7" s="141" t="s">
        <v>158</v>
      </c>
      <c r="E7" s="415" t="s">
        <v>156</v>
      </c>
      <c r="F7" s="405"/>
      <c r="G7" s="140" t="s">
        <v>157</v>
      </c>
      <c r="H7" s="140" t="s">
        <v>158</v>
      </c>
    </row>
    <row r="8" spans="1:10" x14ac:dyDescent="0.2">
      <c r="A8" s="142" t="s">
        <v>159</v>
      </c>
      <c r="B8" s="143">
        <v>0.1</v>
      </c>
      <c r="C8" s="144">
        <v>67</v>
      </c>
      <c r="D8" s="162">
        <f t="shared" ref="D8:D18" si="0">B8*C8</f>
        <v>6.7</v>
      </c>
      <c r="E8" s="163" t="s">
        <v>159</v>
      </c>
      <c r="F8" s="143">
        <v>0.1</v>
      </c>
      <c r="G8" s="144">
        <v>5</v>
      </c>
      <c r="H8" s="145">
        <f t="shared" ref="H8:H18" si="1">F8*G8</f>
        <v>0.5</v>
      </c>
    </row>
    <row r="9" spans="1:10" x14ac:dyDescent="0.2">
      <c r="A9" s="142" t="s">
        <v>159</v>
      </c>
      <c r="B9" s="143">
        <v>0.2</v>
      </c>
      <c r="C9" s="144">
        <v>406</v>
      </c>
      <c r="D9" s="162">
        <f t="shared" si="0"/>
        <v>81.2</v>
      </c>
      <c r="E9" s="163" t="s">
        <v>159</v>
      </c>
      <c r="F9" s="143">
        <v>0.2</v>
      </c>
      <c r="G9" s="144">
        <v>308</v>
      </c>
      <c r="H9" s="145">
        <f t="shared" si="1"/>
        <v>61.6</v>
      </c>
    </row>
    <row r="10" spans="1:10" x14ac:dyDescent="0.2">
      <c r="A10" s="142" t="s">
        <v>159</v>
      </c>
      <c r="B10" s="143">
        <v>0.5</v>
      </c>
      <c r="C10" s="144">
        <v>227</v>
      </c>
      <c r="D10" s="162">
        <f t="shared" si="0"/>
        <v>113.5</v>
      </c>
      <c r="E10" s="163" t="s">
        <v>159</v>
      </c>
      <c r="F10" s="143">
        <v>0.5</v>
      </c>
      <c r="G10" s="144">
        <v>167</v>
      </c>
      <c r="H10" s="145">
        <f t="shared" si="1"/>
        <v>83.5</v>
      </c>
    </row>
    <row r="11" spans="1:10" x14ac:dyDescent="0.2">
      <c r="A11" s="142" t="s">
        <v>159</v>
      </c>
      <c r="B11" s="143">
        <v>1</v>
      </c>
      <c r="C11" s="144">
        <v>267</v>
      </c>
      <c r="D11" s="162">
        <f t="shared" si="0"/>
        <v>267</v>
      </c>
      <c r="E11" s="163" t="s">
        <v>159</v>
      </c>
      <c r="F11" s="143">
        <v>1</v>
      </c>
      <c r="G11" s="144">
        <v>180</v>
      </c>
      <c r="H11" s="145">
        <f t="shared" si="1"/>
        <v>180</v>
      </c>
    </row>
    <row r="12" spans="1:10" x14ac:dyDescent="0.2">
      <c r="A12" s="142" t="s">
        <v>159</v>
      </c>
      <c r="B12" s="143">
        <v>2</v>
      </c>
      <c r="C12" s="144">
        <v>50</v>
      </c>
      <c r="D12" s="162">
        <f t="shared" si="0"/>
        <v>100</v>
      </c>
      <c r="E12" s="163" t="s">
        <v>159</v>
      </c>
      <c r="F12" s="143">
        <v>2</v>
      </c>
      <c r="G12" s="144">
        <v>300</v>
      </c>
      <c r="H12" s="145">
        <f t="shared" si="1"/>
        <v>600</v>
      </c>
    </row>
    <row r="13" spans="1:10" x14ac:dyDescent="0.2">
      <c r="A13" s="142" t="s">
        <v>159</v>
      </c>
      <c r="B13" s="143">
        <v>5</v>
      </c>
      <c r="C13" s="144">
        <v>11</v>
      </c>
      <c r="D13" s="162">
        <f t="shared" si="0"/>
        <v>55</v>
      </c>
      <c r="E13" s="163" t="s">
        <v>159</v>
      </c>
      <c r="F13" s="143">
        <v>5</v>
      </c>
      <c r="G13" s="144">
        <v>41</v>
      </c>
      <c r="H13" s="145">
        <f t="shared" si="1"/>
        <v>205</v>
      </c>
    </row>
    <row r="14" spans="1:10" x14ac:dyDescent="0.2">
      <c r="A14" s="142" t="s">
        <v>159</v>
      </c>
      <c r="B14" s="143">
        <v>10</v>
      </c>
      <c r="C14" s="144">
        <v>73</v>
      </c>
      <c r="D14" s="162">
        <f t="shared" si="0"/>
        <v>730</v>
      </c>
      <c r="E14" s="163" t="s">
        <v>159</v>
      </c>
      <c r="F14" s="143">
        <v>10</v>
      </c>
      <c r="G14" s="144">
        <v>26</v>
      </c>
      <c r="H14" s="145">
        <f t="shared" si="1"/>
        <v>260</v>
      </c>
    </row>
    <row r="15" spans="1:10" x14ac:dyDescent="0.2">
      <c r="A15" s="142" t="s">
        <v>159</v>
      </c>
      <c r="B15" s="143">
        <v>20</v>
      </c>
      <c r="C15" s="144">
        <v>128</v>
      </c>
      <c r="D15" s="162">
        <f t="shared" si="0"/>
        <v>2560</v>
      </c>
      <c r="E15" s="163" t="s">
        <v>159</v>
      </c>
      <c r="F15" s="143">
        <v>20</v>
      </c>
      <c r="G15" s="144">
        <v>26</v>
      </c>
      <c r="H15" s="145">
        <f t="shared" si="1"/>
        <v>520</v>
      </c>
    </row>
    <row r="16" spans="1:10" x14ac:dyDescent="0.2">
      <c r="A16" s="142" t="s">
        <v>159</v>
      </c>
      <c r="B16" s="143">
        <v>50</v>
      </c>
      <c r="C16" s="144">
        <v>45</v>
      </c>
      <c r="D16" s="162">
        <f t="shared" si="0"/>
        <v>2250</v>
      </c>
      <c r="E16" s="163" t="s">
        <v>159</v>
      </c>
      <c r="F16" s="143">
        <v>50</v>
      </c>
      <c r="G16" s="144">
        <v>15</v>
      </c>
      <c r="H16" s="145">
        <f t="shared" si="1"/>
        <v>750</v>
      </c>
    </row>
    <row r="17" spans="1:8" x14ac:dyDescent="0.2">
      <c r="A17" s="142" t="s">
        <v>159</v>
      </c>
      <c r="B17" s="143">
        <v>100</v>
      </c>
      <c r="C17" s="144">
        <v>3</v>
      </c>
      <c r="D17" s="162">
        <f t="shared" si="0"/>
        <v>300</v>
      </c>
      <c r="E17" s="163" t="s">
        <v>159</v>
      </c>
      <c r="F17" s="143">
        <v>100</v>
      </c>
      <c r="G17" s="144">
        <v>0</v>
      </c>
      <c r="H17" s="145">
        <f t="shared" si="1"/>
        <v>0</v>
      </c>
    </row>
    <row r="18" spans="1:8" x14ac:dyDescent="0.2">
      <c r="A18" s="146" t="s">
        <v>159</v>
      </c>
      <c r="B18" s="147">
        <v>200</v>
      </c>
      <c r="C18" s="148">
        <v>5</v>
      </c>
      <c r="D18" s="164">
        <f t="shared" si="0"/>
        <v>1000</v>
      </c>
      <c r="E18" s="165" t="s">
        <v>159</v>
      </c>
      <c r="F18" s="147">
        <v>200</v>
      </c>
      <c r="G18" s="148">
        <v>1</v>
      </c>
      <c r="H18" s="149">
        <f t="shared" si="1"/>
        <v>200</v>
      </c>
    </row>
    <row r="19" spans="1:8" ht="13.5" customHeight="1" x14ac:dyDescent="0.2">
      <c r="A19" s="396" t="s">
        <v>217</v>
      </c>
      <c r="B19" s="396"/>
      <c r="C19" s="396"/>
      <c r="D19" s="166">
        <f>SUM(D8:D18)</f>
        <v>7463.4</v>
      </c>
      <c r="E19" s="410" t="s">
        <v>217</v>
      </c>
      <c r="F19" s="396"/>
      <c r="G19" s="396"/>
      <c r="H19" s="150">
        <f>SUM(H8:H18)</f>
        <v>2860.6</v>
      </c>
    </row>
    <row r="20" spans="1:8" x14ac:dyDescent="0.2">
      <c r="A20" s="151" t="s">
        <v>166</v>
      </c>
      <c r="B20" s="152">
        <v>1</v>
      </c>
      <c r="C20" s="153"/>
      <c r="D20" s="167">
        <f t="shared" ref="D20:D25" si="2">B20*C20</f>
        <v>0</v>
      </c>
      <c r="E20" s="168" t="s">
        <v>166</v>
      </c>
      <c r="F20" s="152">
        <v>1</v>
      </c>
      <c r="G20" s="153"/>
      <c r="H20" s="154">
        <f t="shared" ref="H20:H25" si="3">F20*G20</f>
        <v>0</v>
      </c>
    </row>
    <row r="21" spans="1:8" x14ac:dyDescent="0.2">
      <c r="A21" s="142" t="s">
        <v>166</v>
      </c>
      <c r="B21" s="143">
        <v>5</v>
      </c>
      <c r="C21" s="144"/>
      <c r="D21" s="162">
        <f t="shared" si="2"/>
        <v>0</v>
      </c>
      <c r="E21" s="163" t="s">
        <v>166</v>
      </c>
      <c r="F21" s="143">
        <v>5</v>
      </c>
      <c r="G21" s="144"/>
      <c r="H21" s="145">
        <f t="shared" si="3"/>
        <v>0</v>
      </c>
    </row>
    <row r="22" spans="1:8" x14ac:dyDescent="0.2">
      <c r="A22" s="142" t="s">
        <v>166</v>
      </c>
      <c r="B22" s="143">
        <v>20</v>
      </c>
      <c r="C22" s="144"/>
      <c r="D22" s="162">
        <f t="shared" si="2"/>
        <v>0</v>
      </c>
      <c r="E22" s="163" t="s">
        <v>166</v>
      </c>
      <c r="F22" s="143">
        <v>20</v>
      </c>
      <c r="G22" s="144"/>
      <c r="H22" s="145">
        <f t="shared" si="3"/>
        <v>0</v>
      </c>
    </row>
    <row r="23" spans="1:8" x14ac:dyDescent="0.2">
      <c r="A23" s="142" t="s">
        <v>166</v>
      </c>
      <c r="B23" s="143">
        <v>50</v>
      </c>
      <c r="C23" s="144"/>
      <c r="D23" s="162">
        <f t="shared" si="2"/>
        <v>0</v>
      </c>
      <c r="E23" s="163" t="s">
        <v>166</v>
      </c>
      <c r="F23" s="143">
        <v>50</v>
      </c>
      <c r="G23" s="144"/>
      <c r="H23" s="145">
        <f t="shared" si="3"/>
        <v>0</v>
      </c>
    </row>
    <row r="24" spans="1:8" x14ac:dyDescent="0.2">
      <c r="A24" s="142" t="s">
        <v>166</v>
      </c>
      <c r="B24" s="143">
        <v>100</v>
      </c>
      <c r="C24" s="144"/>
      <c r="D24" s="162">
        <f t="shared" si="2"/>
        <v>0</v>
      </c>
      <c r="E24" s="163" t="s">
        <v>166</v>
      </c>
      <c r="F24" s="143">
        <v>100</v>
      </c>
      <c r="G24" s="144"/>
      <c r="H24" s="145">
        <f t="shared" si="3"/>
        <v>0</v>
      </c>
    </row>
    <row r="25" spans="1:8" x14ac:dyDescent="0.2">
      <c r="A25" s="146" t="s">
        <v>166</v>
      </c>
      <c r="B25" s="147">
        <v>200</v>
      </c>
      <c r="C25" s="148"/>
      <c r="D25" s="164">
        <f t="shared" si="2"/>
        <v>0</v>
      </c>
      <c r="E25" s="165" t="s">
        <v>166</v>
      </c>
      <c r="F25" s="147">
        <v>200</v>
      </c>
      <c r="G25" s="148"/>
      <c r="H25" s="149">
        <f t="shared" si="3"/>
        <v>0</v>
      </c>
    </row>
    <row r="26" spans="1:8" x14ac:dyDescent="0.2">
      <c r="A26" s="396" t="s">
        <v>218</v>
      </c>
      <c r="B26" s="396"/>
      <c r="C26" s="396"/>
      <c r="D26" s="166">
        <f>SUM(D20:D25)</f>
        <v>0</v>
      </c>
      <c r="E26" s="410" t="s">
        <v>218</v>
      </c>
      <c r="F26" s="396"/>
      <c r="G26" s="396"/>
      <c r="H26" s="150">
        <f>SUM(H20:H25)</f>
        <v>0</v>
      </c>
    </row>
    <row r="27" spans="1:8" ht="21" customHeight="1" x14ac:dyDescent="0.2">
      <c r="A27" s="397" t="s">
        <v>219</v>
      </c>
      <c r="B27" s="397"/>
      <c r="C27" s="397"/>
      <c r="D27" s="166">
        <f>D19+(D26*6.86)</f>
        <v>7463.4</v>
      </c>
      <c r="E27" s="397" t="s">
        <v>219</v>
      </c>
      <c r="F27" s="397"/>
      <c r="G27" s="397"/>
      <c r="H27" s="150">
        <f>H19+(H26*6.86)</f>
        <v>2860.6</v>
      </c>
    </row>
    <row r="28" spans="1:8" x14ac:dyDescent="0.2">
      <c r="A28" s="398" t="s">
        <v>220</v>
      </c>
      <c r="B28" s="398"/>
      <c r="C28" s="398"/>
      <c r="D28" s="411"/>
      <c r="E28" s="412" t="str">
        <f>IF(H27&gt;35000,H5-35000,"")</f>
        <v/>
      </c>
      <c r="F28" s="412"/>
      <c r="G28" s="412"/>
      <c r="H28" s="412"/>
    </row>
    <row r="29" spans="1:8" x14ac:dyDescent="0.2">
      <c r="A29" s="395" t="s">
        <v>156</v>
      </c>
      <c r="B29" s="395"/>
      <c r="C29" s="155" t="s">
        <v>157</v>
      </c>
      <c r="D29" s="169" t="s">
        <v>158</v>
      </c>
      <c r="E29" s="180"/>
      <c r="F29" s="181"/>
      <c r="G29" s="182"/>
      <c r="H29" s="182"/>
    </row>
    <row r="30" spans="1:8" x14ac:dyDescent="0.2">
      <c r="A30" s="156" t="s">
        <v>159</v>
      </c>
      <c r="B30" s="157">
        <v>0.1</v>
      </c>
      <c r="C30" s="158"/>
      <c r="D30" s="170">
        <f t="shared" ref="D30:D39" si="4">B30*C30</f>
        <v>0</v>
      </c>
      <c r="E30" s="183"/>
      <c r="F30" s="87"/>
      <c r="G30" s="184"/>
      <c r="H30" s="185"/>
    </row>
    <row r="31" spans="1:8" x14ac:dyDescent="0.2">
      <c r="A31" s="142" t="s">
        <v>159</v>
      </c>
      <c r="B31" s="143">
        <v>0.2</v>
      </c>
      <c r="C31" s="144"/>
      <c r="D31" s="162">
        <f t="shared" si="4"/>
        <v>0</v>
      </c>
      <c r="E31" s="183"/>
      <c r="F31" s="87"/>
      <c r="G31" s="184"/>
      <c r="H31" s="185"/>
    </row>
    <row r="32" spans="1:8" x14ac:dyDescent="0.2">
      <c r="A32" s="142" t="s">
        <v>159</v>
      </c>
      <c r="B32" s="143">
        <v>0.5</v>
      </c>
      <c r="C32" s="144"/>
      <c r="D32" s="162">
        <f t="shared" si="4"/>
        <v>0</v>
      </c>
      <c r="E32" s="183"/>
      <c r="F32" s="87"/>
      <c r="G32" s="184"/>
      <c r="H32" s="185"/>
    </row>
    <row r="33" spans="1:8" x14ac:dyDescent="0.2">
      <c r="A33" s="142" t="s">
        <v>159</v>
      </c>
      <c r="B33" s="143">
        <v>1</v>
      </c>
      <c r="C33" s="144"/>
      <c r="D33" s="162">
        <f t="shared" si="4"/>
        <v>0</v>
      </c>
      <c r="E33" s="183"/>
      <c r="F33" s="87"/>
      <c r="G33" s="184"/>
      <c r="H33" s="185"/>
    </row>
    <row r="34" spans="1:8" x14ac:dyDescent="0.2">
      <c r="A34" s="142" t="s">
        <v>159</v>
      </c>
      <c r="B34" s="143">
        <v>2</v>
      </c>
      <c r="C34" s="144"/>
      <c r="D34" s="162">
        <f t="shared" si="4"/>
        <v>0</v>
      </c>
      <c r="E34" s="183"/>
      <c r="F34" s="87"/>
      <c r="G34" s="184"/>
      <c r="H34" s="185"/>
    </row>
    <row r="35" spans="1:8" x14ac:dyDescent="0.2">
      <c r="A35" s="142" t="s">
        <v>159</v>
      </c>
      <c r="B35" s="143">
        <v>5</v>
      </c>
      <c r="C35" s="144"/>
      <c r="D35" s="162">
        <f t="shared" si="4"/>
        <v>0</v>
      </c>
      <c r="E35" s="183"/>
      <c r="F35" s="87"/>
      <c r="G35" s="184"/>
      <c r="H35" s="185"/>
    </row>
    <row r="36" spans="1:8" x14ac:dyDescent="0.2">
      <c r="A36" s="142" t="s">
        <v>159</v>
      </c>
      <c r="B36" s="143">
        <v>20</v>
      </c>
      <c r="C36" s="144"/>
      <c r="D36" s="162">
        <f t="shared" si="4"/>
        <v>0</v>
      </c>
      <c r="E36" s="183"/>
      <c r="F36" s="87"/>
      <c r="G36" s="184"/>
      <c r="H36" s="185"/>
    </row>
    <row r="37" spans="1:8" x14ac:dyDescent="0.2">
      <c r="A37" s="142" t="s">
        <v>159</v>
      </c>
      <c r="B37" s="143">
        <v>50</v>
      </c>
      <c r="C37" s="144"/>
      <c r="D37" s="162">
        <f t="shared" si="4"/>
        <v>0</v>
      </c>
      <c r="E37" s="183"/>
      <c r="F37" s="87"/>
      <c r="G37" s="184"/>
      <c r="H37" s="185"/>
    </row>
    <row r="38" spans="1:8" x14ac:dyDescent="0.2">
      <c r="A38" s="142" t="s">
        <v>159</v>
      </c>
      <c r="B38" s="143">
        <v>100</v>
      </c>
      <c r="C38" s="144"/>
      <c r="D38" s="162">
        <f t="shared" si="4"/>
        <v>0</v>
      </c>
      <c r="E38" s="183"/>
      <c r="F38" s="87"/>
      <c r="G38" s="184"/>
      <c r="H38" s="185"/>
    </row>
    <row r="39" spans="1:8" x14ac:dyDescent="0.2">
      <c r="A39" s="146" t="s">
        <v>159</v>
      </c>
      <c r="B39" s="147">
        <v>200</v>
      </c>
      <c r="C39" s="148"/>
      <c r="D39" s="164">
        <f t="shared" si="4"/>
        <v>0</v>
      </c>
      <c r="E39" s="183"/>
      <c r="F39" s="87"/>
      <c r="G39" s="184"/>
      <c r="H39" s="185"/>
    </row>
    <row r="40" spans="1:8" x14ac:dyDescent="0.2">
      <c r="A40" s="396" t="s">
        <v>217</v>
      </c>
      <c r="B40" s="396"/>
      <c r="C40" s="396"/>
      <c r="D40" s="171">
        <f>SUM(D30:D39)</f>
        <v>0</v>
      </c>
      <c r="E40" s="186"/>
      <c r="F40" s="187"/>
      <c r="G40" s="187"/>
      <c r="H40" s="188"/>
    </row>
    <row r="41" spans="1:8" x14ac:dyDescent="0.2">
      <c r="A41" s="151" t="s">
        <v>166</v>
      </c>
      <c r="B41" s="152">
        <v>1</v>
      </c>
      <c r="C41" s="153"/>
      <c r="D41" s="167">
        <f t="shared" ref="D41:D46" si="5">B41*C41</f>
        <v>0</v>
      </c>
      <c r="E41" s="183"/>
      <c r="F41" s="87"/>
      <c r="G41" s="184"/>
      <c r="H41" s="185"/>
    </row>
    <row r="42" spans="1:8" x14ac:dyDescent="0.2">
      <c r="A42" s="142" t="s">
        <v>166</v>
      </c>
      <c r="B42" s="143">
        <v>5</v>
      </c>
      <c r="C42" s="144"/>
      <c r="D42" s="162">
        <f t="shared" si="5"/>
        <v>0</v>
      </c>
      <c r="E42" s="183"/>
      <c r="F42" s="87"/>
      <c r="G42" s="184"/>
      <c r="H42" s="185"/>
    </row>
    <row r="43" spans="1:8" x14ac:dyDescent="0.2">
      <c r="A43" s="142" t="s">
        <v>166</v>
      </c>
      <c r="B43" s="143">
        <v>20</v>
      </c>
      <c r="C43" s="144"/>
      <c r="D43" s="162">
        <f t="shared" si="5"/>
        <v>0</v>
      </c>
      <c r="E43" s="183"/>
      <c r="F43" s="87"/>
      <c r="G43" s="184"/>
      <c r="H43" s="185"/>
    </row>
    <row r="44" spans="1:8" x14ac:dyDescent="0.2">
      <c r="A44" s="142" t="s">
        <v>166</v>
      </c>
      <c r="B44" s="143">
        <v>50</v>
      </c>
      <c r="C44" s="144"/>
      <c r="D44" s="162">
        <f t="shared" si="5"/>
        <v>0</v>
      </c>
      <c r="E44" s="183"/>
      <c r="F44" s="87"/>
      <c r="G44" s="184"/>
      <c r="H44" s="185"/>
    </row>
    <row r="45" spans="1:8" x14ac:dyDescent="0.2">
      <c r="A45" s="142" t="s">
        <v>166</v>
      </c>
      <c r="B45" s="143">
        <v>100</v>
      </c>
      <c r="C45" s="144"/>
      <c r="D45" s="162">
        <f t="shared" si="5"/>
        <v>0</v>
      </c>
      <c r="E45" s="183"/>
      <c r="F45" s="87"/>
      <c r="G45" s="184"/>
      <c r="H45" s="185"/>
    </row>
    <row r="46" spans="1:8" x14ac:dyDescent="0.2">
      <c r="A46" s="146" t="s">
        <v>166</v>
      </c>
      <c r="B46" s="147">
        <v>200</v>
      </c>
      <c r="C46" s="148"/>
      <c r="D46" s="164">
        <f t="shared" si="5"/>
        <v>0</v>
      </c>
      <c r="E46" s="183"/>
      <c r="F46" s="87"/>
      <c r="G46" s="184"/>
      <c r="H46" s="185"/>
    </row>
    <row r="47" spans="1:8" x14ac:dyDescent="0.2">
      <c r="A47" s="396" t="s">
        <v>218</v>
      </c>
      <c r="B47" s="396"/>
      <c r="C47" s="396"/>
      <c r="D47" s="166">
        <f>SUM(D41:D46)</f>
        <v>0</v>
      </c>
      <c r="E47" s="186"/>
      <c r="F47" s="187"/>
      <c r="G47" s="187"/>
      <c r="H47" s="189"/>
    </row>
    <row r="48" spans="1:8" ht="21" customHeight="1" x14ac:dyDescent="0.2">
      <c r="A48" s="397" t="s">
        <v>221</v>
      </c>
      <c r="B48" s="397"/>
      <c r="C48" s="397"/>
      <c r="D48" s="166">
        <f>D40+(D47*6.86)</f>
        <v>0</v>
      </c>
      <c r="E48" s="190"/>
      <c r="F48" s="191"/>
      <c r="G48" s="191"/>
      <c r="H48" s="189"/>
    </row>
    <row r="49" spans="1:8" ht="12.75" customHeight="1" x14ac:dyDescent="0.2">
      <c r="A49" s="398" t="s">
        <v>226</v>
      </c>
      <c r="B49" s="398"/>
      <c r="C49" s="398"/>
      <c r="D49" s="161">
        <f>+D48+D27</f>
        <v>7463.4</v>
      </c>
      <c r="E49" s="181"/>
      <c r="F49" s="181"/>
      <c r="G49" s="181"/>
      <c r="H49" s="189"/>
    </row>
    <row r="50" spans="1:8" x14ac:dyDescent="0.2">
      <c r="A50" s="408" t="str">
        <f>IF(D27&gt;35000,D27-35000,"")</f>
        <v/>
      </c>
      <c r="B50" s="408"/>
      <c r="C50" s="408"/>
      <c r="D50" s="408"/>
      <c r="E50" s="192"/>
      <c r="F50" s="192"/>
      <c r="G50" s="192"/>
      <c r="H50" s="192"/>
    </row>
    <row r="51" spans="1:8" x14ac:dyDescent="0.2">
      <c r="A51" s="409" t="str">
        <f>IF(D49&gt;100000,D49-100000,"")</f>
        <v/>
      </c>
      <c r="B51" s="409"/>
      <c r="C51" s="409"/>
      <c r="D51" s="409"/>
      <c r="E51" s="193"/>
      <c r="F51" s="193"/>
      <c r="G51" s="193"/>
      <c r="H51" s="193"/>
    </row>
    <row r="52" spans="1:8" ht="62.25" customHeight="1" x14ac:dyDescent="0.2">
      <c r="A52" s="394" t="s">
        <v>227</v>
      </c>
      <c r="B52" s="394"/>
      <c r="C52" s="394"/>
      <c r="D52" s="394"/>
      <c r="E52" s="394" t="s">
        <v>228</v>
      </c>
      <c r="F52" s="394"/>
      <c r="G52" s="394"/>
      <c r="H52" s="394"/>
    </row>
    <row r="55" spans="1:8" ht="48.75" customHeight="1" x14ac:dyDescent="0.2">
      <c r="A55" s="394" t="s">
        <v>224</v>
      </c>
      <c r="B55" s="394"/>
      <c r="C55" s="394"/>
      <c r="D55" s="394"/>
      <c r="E55" s="394"/>
      <c r="F55" s="394"/>
      <c r="G55" s="394"/>
      <c r="H55" s="394"/>
    </row>
  </sheetData>
  <mergeCells count="29">
    <mergeCell ref="A5:D5"/>
    <mergeCell ref="E5:H5"/>
    <mergeCell ref="A1:H1"/>
    <mergeCell ref="A2:B2"/>
    <mergeCell ref="C2:H2"/>
    <mergeCell ref="A3:B3"/>
    <mergeCell ref="C3:H3"/>
    <mergeCell ref="A6:D6"/>
    <mergeCell ref="E6:H6"/>
    <mergeCell ref="A7:B7"/>
    <mergeCell ref="E7:F7"/>
    <mergeCell ref="A19:C19"/>
    <mergeCell ref="E19:G19"/>
    <mergeCell ref="A26:C26"/>
    <mergeCell ref="E26:G26"/>
    <mergeCell ref="A27:C27"/>
    <mergeCell ref="E27:G27"/>
    <mergeCell ref="A28:D28"/>
    <mergeCell ref="E28:H28"/>
    <mergeCell ref="A29:B29"/>
    <mergeCell ref="A40:C40"/>
    <mergeCell ref="A47:C47"/>
    <mergeCell ref="A48:C48"/>
    <mergeCell ref="A49:C49"/>
    <mergeCell ref="A50:D50"/>
    <mergeCell ref="A51:D51"/>
    <mergeCell ref="A52:D52"/>
    <mergeCell ref="E52:H52"/>
    <mergeCell ref="A55:H55"/>
  </mergeCells>
  <conditionalFormatting sqref="A50:D51">
    <cfRule type="expression" dxfId="2" priority="3">
      <formula>ISNUMBER(A50)</formula>
    </cfRule>
  </conditionalFormatting>
  <conditionalFormatting sqref="E50">
    <cfRule type="expression" dxfId="1" priority="2">
      <formula>ISNUMBER(E50)</formula>
    </cfRule>
  </conditionalFormatting>
  <conditionalFormatting sqref="E28">
    <cfRule type="expression" dxfId="0" priority="1">
      <formula>ISNUMBER(E28)</formula>
    </cfRule>
  </conditionalFormatting>
  <pageMargins left="1.1811023622047245" right="0.78740157480314965" top="0.55118110236220474" bottom="0.35433070866141736" header="0.11811023622047245" footer="0.11811023622047245"/>
  <pageSetup paperSize="9" scale="9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1"/>
  <dimension ref="A1:D27"/>
  <sheetViews>
    <sheetView topLeftCell="A16" workbookViewId="0">
      <selection activeCell="B38" sqref="B38"/>
    </sheetView>
  </sheetViews>
  <sheetFormatPr baseColWidth="10" defaultRowHeight="12.75" x14ac:dyDescent="0.2"/>
  <cols>
    <col min="1" max="1" width="11" style="32"/>
    <col min="2" max="2" width="67.625" style="32" customWidth="1"/>
    <col min="3" max="3" width="31.5" style="32" customWidth="1"/>
    <col min="4" max="4" width="54.25" style="32" customWidth="1"/>
    <col min="5" max="16384" width="11" style="32"/>
  </cols>
  <sheetData>
    <row r="1" spans="1:4" x14ac:dyDescent="0.2">
      <c r="B1" s="32" t="s">
        <v>79</v>
      </c>
    </row>
    <row r="2" spans="1:4" x14ac:dyDescent="0.2">
      <c r="A2" s="32" t="s">
        <v>78</v>
      </c>
      <c r="B2" s="32" t="s">
        <v>67</v>
      </c>
    </row>
    <row r="3" spans="1:4" ht="25.5" x14ac:dyDescent="0.2">
      <c r="A3" s="32">
        <v>1</v>
      </c>
      <c r="B3" s="26" t="s">
        <v>68</v>
      </c>
    </row>
    <row r="7" spans="1:4" x14ac:dyDescent="0.2">
      <c r="A7" s="32" t="s">
        <v>72</v>
      </c>
    </row>
    <row r="8" spans="1:4" ht="25.5" x14ac:dyDescent="0.2">
      <c r="A8" s="32">
        <v>2</v>
      </c>
      <c r="B8" s="26" t="s">
        <v>73</v>
      </c>
    </row>
    <row r="11" spans="1:4" x14ac:dyDescent="0.2">
      <c r="A11" s="32" t="s">
        <v>78</v>
      </c>
      <c r="B11" s="32" t="s">
        <v>81</v>
      </c>
    </row>
    <row r="12" spans="1:4" ht="25.5" x14ac:dyDescent="0.2">
      <c r="A12" s="32">
        <v>3</v>
      </c>
      <c r="B12" s="26" t="s">
        <v>84</v>
      </c>
    </row>
    <row r="13" spans="1:4" ht="25.5" x14ac:dyDescent="0.2">
      <c r="A13" s="32">
        <v>4</v>
      </c>
      <c r="B13" s="26" t="s">
        <v>80</v>
      </c>
    </row>
    <row r="15" spans="1:4" x14ac:dyDescent="0.2">
      <c r="A15" s="32" t="s">
        <v>78</v>
      </c>
      <c r="B15" s="32" t="s">
        <v>83</v>
      </c>
    </row>
    <row r="16" spans="1:4" ht="89.25" x14ac:dyDescent="0.2">
      <c r="B16" s="32" t="s">
        <v>85</v>
      </c>
      <c r="C16" s="15" t="s">
        <v>51</v>
      </c>
      <c r="D16" s="22" t="s">
        <v>58</v>
      </c>
    </row>
    <row r="17" spans="2:2" ht="25.5" x14ac:dyDescent="0.2">
      <c r="B17" s="26" t="s">
        <v>86</v>
      </c>
    </row>
    <row r="20" spans="2:2" x14ac:dyDescent="0.2">
      <c r="B20" s="33" t="s">
        <v>96</v>
      </c>
    </row>
    <row r="21" spans="2:2" x14ac:dyDescent="0.2">
      <c r="B21" s="33" t="s">
        <v>97</v>
      </c>
    </row>
    <row r="22" spans="2:2" x14ac:dyDescent="0.2">
      <c r="B22" s="33"/>
    </row>
    <row r="24" spans="2:2" x14ac:dyDescent="0.2">
      <c r="B24" s="32" t="s">
        <v>98</v>
      </c>
    </row>
    <row r="26" spans="2:2" x14ac:dyDescent="0.2">
      <c r="B26" s="2" t="s">
        <v>99</v>
      </c>
    </row>
    <row r="27" spans="2:2" x14ac:dyDescent="0.2">
      <c r="B27" s="32" t="s">
        <v>100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41</vt:i4>
      </vt:variant>
    </vt:vector>
  </HeadingPairs>
  <TitlesOfParts>
    <vt:vector size="69" baseType="lpstr">
      <vt:lpstr>MarcasAud</vt:lpstr>
      <vt:lpstr>FormOperativo</vt:lpstr>
      <vt:lpstr>FormAdministrativo</vt:lpstr>
      <vt:lpstr>FormSeguridaFisica</vt:lpstr>
      <vt:lpstr>FormCaptaciones</vt:lpstr>
      <vt:lpstr>FormPuntoReclamo</vt:lpstr>
      <vt:lpstr>FormCanjeFraccionamiento</vt:lpstr>
      <vt:lpstr>FormContratos</vt:lpstr>
      <vt:lpstr>FormBienesAdj</vt:lpstr>
      <vt:lpstr>InfOperativo</vt:lpstr>
      <vt:lpstr>InfAdm</vt:lpstr>
      <vt:lpstr>InfSegFis</vt:lpstr>
      <vt:lpstr>InfCapt</vt:lpstr>
      <vt:lpstr>InfPuntRecl</vt:lpstr>
      <vt:lpstr>InfCanFrac</vt:lpstr>
      <vt:lpstr>InfContratos</vt:lpstr>
      <vt:lpstr>InfBienesAdj</vt:lpstr>
      <vt:lpstr>Requerimiento</vt:lpstr>
      <vt:lpstr>Arqueo BÓVEDA</vt:lpstr>
      <vt:lpstr>Arqueo CJA CHICA</vt:lpstr>
      <vt:lpstr>Arqueo COBRANZAS</vt:lpstr>
      <vt:lpstr>Arqueo FONDOS A R</vt:lpstr>
      <vt:lpstr>Anexo 2 (Chequera 1)</vt:lpstr>
      <vt:lpstr>Anexo 3 (Zonas de exclusión)</vt:lpstr>
      <vt:lpstr>Límite</vt:lpstr>
      <vt:lpstr>Lím1Cajero</vt:lpstr>
      <vt:lpstr>Lím2Cajeros</vt:lpstr>
      <vt:lpstr>Documentos a requerir</vt:lpstr>
      <vt:lpstr>'Anexo 2 (Chequera 1)'!Área_de_impresión</vt:lpstr>
      <vt:lpstr>'Anexo 3 (Zonas de exclusión)'!Área_de_impresión</vt:lpstr>
      <vt:lpstr>'Arqueo BÓVEDA'!Área_de_impresión</vt:lpstr>
      <vt:lpstr>'Arqueo CJA CHICA'!Área_de_impresión</vt:lpstr>
      <vt:lpstr>'Arqueo COBRANZAS'!Área_de_impresión</vt:lpstr>
      <vt:lpstr>'Arqueo FONDOS A R'!Área_de_impresión</vt:lpstr>
      <vt:lpstr>FormAdministrativo!Área_de_impresión</vt:lpstr>
      <vt:lpstr>FormBienesAdj!Área_de_impresión</vt:lpstr>
      <vt:lpstr>FormCanjeFraccionamiento!Área_de_impresión</vt:lpstr>
      <vt:lpstr>FormCaptaciones!Área_de_impresión</vt:lpstr>
      <vt:lpstr>FormContratos!Área_de_impresión</vt:lpstr>
      <vt:lpstr>FormOperativo!Área_de_impresión</vt:lpstr>
      <vt:lpstr>FormPuntoReclamo!Área_de_impresión</vt:lpstr>
      <vt:lpstr>FormSeguridaFisica!Área_de_impresión</vt:lpstr>
      <vt:lpstr>InfAdm!Área_de_impresión</vt:lpstr>
      <vt:lpstr>InfBienesAdj!Área_de_impresión</vt:lpstr>
      <vt:lpstr>InfCanFrac!Área_de_impresión</vt:lpstr>
      <vt:lpstr>InfCapt!Área_de_impresión</vt:lpstr>
      <vt:lpstr>InfContratos!Área_de_impresión</vt:lpstr>
      <vt:lpstr>InfOperativo!Área_de_impresión</vt:lpstr>
      <vt:lpstr>InfPuntRecl!Área_de_impresión</vt:lpstr>
      <vt:lpstr>InfSegFis!Área_de_impresión</vt:lpstr>
      <vt:lpstr>Lím1Cajero!Área_de_impresión</vt:lpstr>
      <vt:lpstr>Lím2Cajeros!Área_de_impresión</vt:lpstr>
      <vt:lpstr>FormAdministrativo!Títulos_a_imprimir</vt:lpstr>
      <vt:lpstr>FormBienesAdj!Títulos_a_imprimir</vt:lpstr>
      <vt:lpstr>FormCanjeFraccionamiento!Títulos_a_imprimir</vt:lpstr>
      <vt:lpstr>FormCaptaciones!Títulos_a_imprimir</vt:lpstr>
      <vt:lpstr>FormContratos!Títulos_a_imprimir</vt:lpstr>
      <vt:lpstr>FormOperativo!Títulos_a_imprimir</vt:lpstr>
      <vt:lpstr>FormPuntoReclamo!Títulos_a_imprimir</vt:lpstr>
      <vt:lpstr>FormSeguridaFisica!Títulos_a_imprimir</vt:lpstr>
      <vt:lpstr>InfAdm!Títulos_a_imprimir</vt:lpstr>
      <vt:lpstr>InfBienesAdj!Títulos_a_imprimir</vt:lpstr>
      <vt:lpstr>InfCanFrac!Títulos_a_imprimir</vt:lpstr>
      <vt:lpstr>InfCapt!Títulos_a_imprimir</vt:lpstr>
      <vt:lpstr>InfContratos!Títulos_a_imprimir</vt:lpstr>
      <vt:lpstr>InfOperativo!Títulos_a_imprimir</vt:lpstr>
      <vt:lpstr>InfPuntRecl!Títulos_a_imprimir</vt:lpstr>
      <vt:lpstr>InfSegFis!Títulos_a_imprimir</vt:lpstr>
      <vt:lpstr>Requerimiento!Títulos_a_imprimir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Roxemberg Maixer Gomez</cp:lastModifiedBy>
  <cp:lastPrinted>2024-04-19T16:13:13Z</cp:lastPrinted>
  <dcterms:created xsi:type="dcterms:W3CDTF">2018-09-25T14:31:33Z</dcterms:created>
  <dcterms:modified xsi:type="dcterms:W3CDTF">2024-04-23T21:04:03Z</dcterms:modified>
</cp:coreProperties>
</file>